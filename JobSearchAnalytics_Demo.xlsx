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b7e2be8640e0f68/Desktop/Job Search Analytics/"/>
    </mc:Choice>
  </mc:AlternateContent>
  <xr:revisionPtr revIDLastSave="40" documentId="11_433FEA0F33A9C9BCC33567341E2A68C5F0885CC7" xr6:coauthVersionLast="47" xr6:coauthVersionMax="47" xr10:uidLastSave="{BFA5B0F6-4E66-4741-B5B8-E3E7C086E05B}"/>
  <bookViews>
    <workbookView xWindow="375" yWindow="585" windowWidth="21600" windowHeight="18435" tabRatio="500" xr2:uid="{00000000-000D-0000-FFFF-FFFF00000000}"/>
  </bookViews>
  <sheets>
    <sheet name="Cover" sheetId="1" r:id="rId1"/>
    <sheet name="Log" sheetId="2" r:id="rId2"/>
    <sheet name="Dashboard" sheetId="3" r:id="rId3"/>
    <sheet name="Analytics" sheetId="4" r:id="rId4"/>
    <sheet name="Timeline" sheetId="5" r:id="rId5"/>
    <sheet name="Skills Gap Analysis" sheetId="6" r:id="rId6"/>
    <sheet name="Documentation" sheetId="7" r:id="rId7"/>
  </sheets>
  <definedNames>
    <definedName name="HealthScore">Dashboard!$T$16</definedName>
    <definedName name="JobDescriptionText">'Skills Gap Analysis'!$A$4</definedName>
    <definedName name="JobFitScore">'Skills Gap Analysis'!$C$48</definedName>
    <definedName name="ScoreA">Dashboard!$T$12</definedName>
    <definedName name="ScoreB">Dashboard!$T$13</definedName>
    <definedName name="ScoreC">Dashboard!$T$14</definedName>
    <definedName name="ScoreD">Dashboard!$T$15</definedName>
    <definedName name="TotalAchievedWeight">'Skills Gap Analysis'!$C$47</definedName>
    <definedName name="TotalPossibleWeight">'Skills Gap Analysis'!$C$46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5" i="3" l="1"/>
  <c r="D34" i="3"/>
  <c r="D33" i="3"/>
  <c r="D32" i="3"/>
  <c r="D31" i="3"/>
  <c r="D30" i="3"/>
  <c r="D29" i="3"/>
  <c r="D28" i="3"/>
  <c r="B59" i="7"/>
  <c r="B58" i="7"/>
  <c r="B57" i="7"/>
  <c r="B38" i="7"/>
  <c r="B37" i="7"/>
  <c r="B36" i="7"/>
  <c r="B35" i="7"/>
  <c r="B32" i="7"/>
  <c r="B31" i="7"/>
  <c r="B30" i="7"/>
  <c r="B29" i="7"/>
  <c r="C46" i="6"/>
  <c r="F43" i="6"/>
  <c r="D43" i="6"/>
  <c r="E43" i="6" s="1"/>
  <c r="D42" i="6"/>
  <c r="E42" i="6" s="1"/>
  <c r="D41" i="6"/>
  <c r="F41" i="6" s="1"/>
  <c r="E40" i="6"/>
  <c r="D40" i="6"/>
  <c r="F40" i="6" s="1"/>
  <c r="D39" i="6"/>
  <c r="F39" i="6" s="1"/>
  <c r="D38" i="6"/>
  <c r="F38" i="6" s="1"/>
  <c r="D37" i="6"/>
  <c r="F37" i="6" s="1"/>
  <c r="F36" i="6"/>
  <c r="D36" i="6"/>
  <c r="E36" i="6" s="1"/>
  <c r="F35" i="6"/>
  <c r="D35" i="6"/>
  <c r="E35" i="6" s="1"/>
  <c r="F34" i="6"/>
  <c r="E34" i="6"/>
  <c r="D34" i="6"/>
  <c r="F33" i="6"/>
  <c r="E33" i="6"/>
  <c r="D33" i="6"/>
  <c r="F32" i="6"/>
  <c r="E32" i="6"/>
  <c r="D32" i="6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A44" i="4"/>
  <c r="A43" i="4"/>
  <c r="A42" i="4"/>
  <c r="A41" i="4"/>
  <c r="A40" i="4"/>
  <c r="B40" i="4" s="1"/>
  <c r="A39" i="4"/>
  <c r="A38" i="4"/>
  <c r="B38" i="4" s="1"/>
  <c r="E38" i="4" s="1"/>
  <c r="A37" i="4"/>
  <c r="B37" i="4" s="1"/>
  <c r="C37" i="4" s="1"/>
  <c r="D26" i="4"/>
  <c r="F26" i="4" s="1"/>
  <c r="C26" i="4"/>
  <c r="E26" i="4" s="1"/>
  <c r="B26" i="4"/>
  <c r="D25" i="4"/>
  <c r="F25" i="4" s="1"/>
  <c r="C25" i="4"/>
  <c r="E25" i="4" s="1"/>
  <c r="B25" i="4"/>
  <c r="D24" i="4"/>
  <c r="F24" i="4" s="1"/>
  <c r="C24" i="4"/>
  <c r="E24" i="4" s="1"/>
  <c r="B24" i="4"/>
  <c r="D23" i="4"/>
  <c r="F23" i="4" s="1"/>
  <c r="C23" i="4"/>
  <c r="E23" i="4" s="1"/>
  <c r="B23" i="4"/>
  <c r="D22" i="4"/>
  <c r="F22" i="4" s="1"/>
  <c r="C22" i="4"/>
  <c r="E22" i="4" s="1"/>
  <c r="B22" i="4"/>
  <c r="B17" i="4"/>
  <c r="B16" i="4"/>
  <c r="B15" i="4"/>
  <c r="B14" i="4"/>
  <c r="B13" i="4"/>
  <c r="B12" i="4"/>
  <c r="B11" i="4"/>
  <c r="C34" i="3"/>
  <c r="C33" i="3"/>
  <c r="C32" i="3"/>
  <c r="C31" i="3"/>
  <c r="C30" i="3"/>
  <c r="C29" i="3"/>
  <c r="C28" i="3"/>
  <c r="E23" i="3"/>
  <c r="G23" i="3" s="1"/>
  <c r="D23" i="3"/>
  <c r="F23" i="3" s="1"/>
  <c r="C23" i="3"/>
  <c r="E22" i="3"/>
  <c r="G22" i="3" s="1"/>
  <c r="D22" i="3"/>
  <c r="F22" i="3" s="1"/>
  <c r="C22" i="3"/>
  <c r="E21" i="3"/>
  <c r="G21" i="3" s="1"/>
  <c r="D21" i="3"/>
  <c r="F21" i="3" s="1"/>
  <c r="C21" i="3"/>
  <c r="E20" i="3"/>
  <c r="G20" i="3" s="1"/>
  <c r="D20" i="3"/>
  <c r="F20" i="3" s="1"/>
  <c r="C20" i="3"/>
  <c r="E19" i="3"/>
  <c r="D19" i="3"/>
  <c r="F19" i="3" s="1"/>
  <c r="C19" i="3"/>
  <c r="G19" i="3" s="1"/>
  <c r="T15" i="3"/>
  <c r="T14" i="3"/>
  <c r="K14" i="3"/>
  <c r="T13" i="3"/>
  <c r="T16" i="3" s="1"/>
  <c r="K15" i="3" s="1"/>
  <c r="K13" i="3"/>
  <c r="T12" i="3"/>
  <c r="K11" i="3" s="1"/>
  <c r="N6" i="3"/>
  <c r="J6" i="3"/>
  <c r="F6" i="3"/>
  <c r="B6" i="3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C17" i="1"/>
  <c r="B39" i="7" l="1"/>
  <c r="B39" i="4"/>
  <c r="E39" i="4" s="1"/>
  <c r="D40" i="4"/>
  <c r="E40" i="4"/>
  <c r="C40" i="4"/>
  <c r="G35" i="6"/>
  <c r="G41" i="6"/>
  <c r="G43" i="6"/>
  <c r="G34" i="6"/>
  <c r="G36" i="6"/>
  <c r="G33" i="6"/>
  <c r="G39" i="6"/>
  <c r="G40" i="6"/>
  <c r="B42" i="4"/>
  <c r="C42" i="4" s="1"/>
  <c r="E37" i="6"/>
  <c r="H36" i="6" s="1"/>
  <c r="B43" i="4"/>
  <c r="C43" i="4" s="1"/>
  <c r="E41" i="6"/>
  <c r="K12" i="3"/>
  <c r="E38" i="6"/>
  <c r="H38" i="6" s="1"/>
  <c r="E37" i="4"/>
  <c r="B44" i="4"/>
  <c r="D44" i="4" s="1"/>
  <c r="E39" i="6"/>
  <c r="F42" i="6"/>
  <c r="G42" i="6" s="1"/>
  <c r="D37" i="4"/>
  <c r="G32" i="6"/>
  <c r="B41" i="4"/>
  <c r="C38" i="4"/>
  <c r="D38" i="4"/>
  <c r="C44" i="4" l="1"/>
  <c r="E44" i="4"/>
  <c r="C39" i="4"/>
  <c r="D39" i="4"/>
  <c r="E41" i="4"/>
  <c r="C41" i="4"/>
  <c r="C55" i="6"/>
  <c r="B55" i="6"/>
  <c r="D52" i="6"/>
  <c r="C52" i="6"/>
  <c r="B52" i="6"/>
  <c r="D55" i="6"/>
  <c r="E43" i="4"/>
  <c r="D43" i="4"/>
  <c r="H42" i="6"/>
  <c r="H41" i="6"/>
  <c r="H34" i="6"/>
  <c r="C47" i="6"/>
  <c r="H37" i="6"/>
  <c r="D42" i="4"/>
  <c r="E42" i="4"/>
  <c r="H32" i="6"/>
  <c r="H43" i="6"/>
  <c r="H40" i="6"/>
  <c r="H39" i="6"/>
  <c r="H35" i="6"/>
  <c r="G38" i="6"/>
  <c r="H33" i="6"/>
  <c r="G37" i="6"/>
  <c r="C53" i="6" s="1"/>
  <c r="D41" i="4"/>
  <c r="D56" i="6" l="1"/>
  <c r="D63" i="6"/>
  <c r="C63" i="6"/>
  <c r="B63" i="6"/>
  <c r="D62" i="6"/>
  <c r="C61" i="6"/>
  <c r="C62" i="6"/>
  <c r="D61" i="6"/>
  <c r="B62" i="6"/>
  <c r="B61" i="6"/>
  <c r="D60" i="6"/>
  <c r="C60" i="6"/>
  <c r="B60" i="6"/>
  <c r="D64" i="6"/>
  <c r="C64" i="6"/>
  <c r="B64" i="6"/>
  <c r="B56" i="6"/>
  <c r="B47" i="7"/>
  <c r="C48" i="6"/>
  <c r="C54" i="6"/>
  <c r="D53" i="6"/>
  <c r="B54" i="6"/>
  <c r="B53" i="6"/>
  <c r="D54" i="6"/>
  <c r="C56" i="6"/>
</calcChain>
</file>

<file path=xl/sharedStrings.xml><?xml version="1.0" encoding="utf-8"?>
<sst xmlns="http://schemas.openxmlformats.org/spreadsheetml/2006/main" count="543" uniqueCount="347">
  <si>
    <t>Job Search Analytics System</t>
  </si>
  <si>
    <t>Personal Job Search Management System</t>
  </si>
  <si>
    <t>Maintained by:</t>
  </si>
  <si>
    <t>Daniel</t>
  </si>
  <si>
    <t>Version:</t>
  </si>
  <si>
    <t>2026.1</t>
  </si>
  <si>
    <t>Theme:</t>
  </si>
  <si>
    <t>Quiet Productivity</t>
  </si>
  <si>
    <t>Last Updated:</t>
  </si>
  <si>
    <t>Built on the principles of Quiet Productivity — Calm. Clear. Audit-Ready.</t>
  </si>
  <si>
    <t xml:space="preserve">  Job Application Log  |  JobLogTable</t>
  </si>
  <si>
    <t>Date Applied</t>
  </si>
  <si>
    <t>Employer</t>
  </si>
  <si>
    <t>Job Title</t>
  </si>
  <si>
    <t>Source / How Applied</t>
  </si>
  <si>
    <t>Job Posting Link</t>
  </si>
  <si>
    <t>Resume Version Used</t>
  </si>
  <si>
    <t>Status</t>
  </si>
  <si>
    <t>Follow-Up Date</t>
  </si>
  <si>
    <t>Follow-Up Notes</t>
  </si>
  <si>
    <t>Interview Date</t>
  </si>
  <si>
    <t>Outcome</t>
  </si>
  <si>
    <t>Notes</t>
  </si>
  <si>
    <t>Days to Interview</t>
  </si>
  <si>
    <t>Acme Corp</t>
  </si>
  <si>
    <t>Sr. Business Analyst</t>
  </si>
  <si>
    <t>LinkedIn</t>
  </si>
  <si>
    <t>https://linkedin.com/1</t>
  </si>
  <si>
    <t>BI-Focused</t>
  </si>
  <si>
    <t>Interview Scheduled</t>
  </si>
  <si>
    <t>Sent follow-up email</t>
  </si>
  <si>
    <t>Strong BI match</t>
  </si>
  <si>
    <t>Globex Inc</t>
  </si>
  <si>
    <t>Operations Manager</t>
  </si>
  <si>
    <t>Indeed</t>
  </si>
  <si>
    <t>https://indeed.com/2</t>
  </si>
  <si>
    <t>Ops-Focused</t>
  </si>
  <si>
    <t>Applied</t>
  </si>
  <si>
    <t>Need to follow up</t>
  </si>
  <si>
    <t>Initech LLC</t>
  </si>
  <si>
    <t>Data Analyst</t>
  </si>
  <si>
    <t>Referral</t>
  </si>
  <si>
    <t>https://initech.com/jobs</t>
  </si>
  <si>
    <t>Master</t>
  </si>
  <si>
    <t>In Review</t>
  </si>
  <si>
    <t>Referred by Jane</t>
  </si>
  <si>
    <t>Umbrella Co</t>
  </si>
  <si>
    <t>Project Manager</t>
  </si>
  <si>
    <t>Company Site</t>
  </si>
  <si>
    <t>https://umbrella.com/jobs</t>
  </si>
  <si>
    <t>PM-Focused</t>
  </si>
  <si>
    <t>Rejected</t>
  </si>
  <si>
    <t>Position filled internally</t>
  </si>
  <si>
    <t>Stark Industries</t>
  </si>
  <si>
    <t>Analytics Lead</t>
  </si>
  <si>
    <t>https://linkedin.com/5</t>
  </si>
  <si>
    <t>Tailored Version</t>
  </si>
  <si>
    <t>Tailored resume submitted</t>
  </si>
  <si>
    <t xml:space="preserve">  Job Search Analytics Dashboard</t>
  </si>
  <si>
    <t xml:space="preserve">  KEY PERFORMANCE INDICATORS</t>
  </si>
  <si>
    <t>Applications This Week</t>
  </si>
  <si>
    <t>Follow-Ups Due</t>
  </si>
  <si>
    <t>Interview Rate</t>
  </si>
  <si>
    <t>Offer Rate</t>
  </si>
  <si>
    <t xml:space="preserve">  JOB SEARCH HEALTH SCORE  (0 – 100)</t>
  </si>
  <si>
    <t>Application Activity   (0–30):</t>
  </si>
  <si>
    <t>30%</t>
  </si>
  <si>
    <t>Follow-Up Discipline   (0–30):</t>
  </si>
  <si>
    <t>Interview Rate Score   (0–25):</t>
  </si>
  <si>
    <t>25%</t>
  </si>
  <si>
    <t>Offer Rate Score       (0–15):</t>
  </si>
  <si>
    <t>15%</t>
  </si>
  <si>
    <t>TOTAL HEALTH SCORE (0–100):</t>
  </si>
  <si>
    <t xml:space="preserve">  RÉSUMÉ PERFORMANCE ANALYSIS</t>
  </si>
  <si>
    <t>Résumé Version</t>
  </si>
  <si>
    <t>Applications</t>
  </si>
  <si>
    <t>Interviews</t>
  </si>
  <si>
    <t>Offers</t>
  </si>
  <si>
    <t xml:space="preserve">  APPLICATION STATUS BREAKDOWN</t>
  </si>
  <si>
    <t>Count</t>
  </si>
  <si>
    <t>% of Total</t>
  </si>
  <si>
    <t>Interviewed</t>
  </si>
  <si>
    <t>Offer</t>
  </si>
  <si>
    <t>Closed / No Response</t>
  </si>
  <si>
    <t>TOTAL</t>
  </si>
  <si>
    <t>100.0%</t>
  </si>
  <si>
    <t xml:space="preserve">  MACRO BUTTONS  (Assign macros to shape buttons)</t>
  </si>
  <si>
    <t>[ Refresh Dashboard ]</t>
  </si>
  <si>
    <t>→ RefreshDashboard</t>
  </si>
  <si>
    <t>[ Weekly Summary ]</t>
  </si>
  <si>
    <t>→ WeeklySummary</t>
  </si>
  <si>
    <t>[ Update Pivot Tables ]</t>
  </si>
  <si>
    <t>→ UpdatePivotSources</t>
  </si>
  <si>
    <t xml:space="preserve">  Analytics — Pivot Table Engine &amp; Summary Tables</t>
  </si>
  <si>
    <t>INSERT EXCEL PIVOT TABLES from JobLogTable in each section. Pivot names: ptApplicationsByWeek | ptStatusBreakdown | ptResumePerformance | ptTimeToInterview</t>
  </si>
  <si>
    <t xml:space="preserve">  PIVOT 1 — Applications by Week  (ptApplicationsByWeek)</t>
  </si>
  <si>
    <t>Week Of</t>
  </si>
  <si>
    <t>← Insert ptApplicationsByWeek here</t>
  </si>
  <si>
    <t xml:space="preserve">  PIVOT 2 — Status Breakdown  (ptStatusBreakdown)</t>
  </si>
  <si>
    <t xml:space="preserve">  PIVOT 3 — Résumé Performance  (ptResumePerformance)</t>
  </si>
  <si>
    <t>Int. Rate</t>
  </si>
  <si>
    <t xml:space="preserve">  PIVOT 4 — Time-to-Interview  (ptTimeToInterview)</t>
  </si>
  <si>
    <t>← Insert ptTimeToInterview pivot here</t>
  </si>
  <si>
    <t xml:space="preserve">  WEEKLY ACTIVITY — Last 8 Weeks  (feeds Weekly Activity Chart)</t>
  </si>
  <si>
    <t>Week Start</t>
  </si>
  <si>
    <t>Week End</t>
  </si>
  <si>
    <t xml:space="preserve">  Job Search Timeline — Scatter Chart Helper</t>
  </si>
  <si>
    <t>Helper table → Scatter Chart (Markers Only). X=Date col, Y=Y-Value (=1). Label each point with Event col text, positioned Above. Chart BG: #1E1E1E | Gridlines: #C9D1D3 | Hide Y-axis | Hide legend.</t>
  </si>
  <si>
    <t>Date</t>
  </si>
  <si>
    <t>Event</t>
  </si>
  <si>
    <t>Event Type</t>
  </si>
  <si>
    <t>Y-Value</t>
  </si>
  <si>
    <t>Follow-Up</t>
  </si>
  <si>
    <t>Interview</t>
  </si>
  <si>
    <t>Color guide: Applied=#4F8A8B | Follow-Up=#E8C07D | Interview=#7FB77E | Outcome=#C97A7A</t>
  </si>
  <si>
    <t xml:space="preserve">  Skills Gap Analysis Engine</t>
  </si>
  <si>
    <t xml:space="preserve">  JOB DESCRIPTION INPUT — Paste job posting text here (used by ExtractSkills macro)</t>
  </si>
  <si>
    <t>[PASTE JOB DESCRIPTION TEXT HERE]</t>
  </si>
  <si>
    <t xml:space="preserve">  SKILLS DICTIONARY  (SkillsDictionary)</t>
  </si>
  <si>
    <t xml:space="preserve">  RESUME SKILLS  (ResumeSkills)</t>
  </si>
  <si>
    <t xml:space="preserve">  JOB POSTING SKILLS  (JobPostingSkills — auto-populated by ExtractSkills)</t>
  </si>
  <si>
    <t>Skill</t>
  </si>
  <si>
    <t>Category</t>
  </si>
  <si>
    <t>Weight</t>
  </si>
  <si>
    <t>Power BI</t>
  </si>
  <si>
    <t>Tools</t>
  </si>
  <si>
    <t>DAX</t>
  </si>
  <si>
    <t>Technical</t>
  </si>
  <si>
    <t>SQL</t>
  </si>
  <si>
    <t>Data Analysis</t>
  </si>
  <si>
    <t>Excel</t>
  </si>
  <si>
    <t>Python</t>
  </si>
  <si>
    <t>Business Analysis</t>
  </si>
  <si>
    <t>Domain</t>
  </si>
  <si>
    <t>Tableau</t>
  </si>
  <si>
    <t>KPI Reporting</t>
  </si>
  <si>
    <t>Azure / Cloud</t>
  </si>
  <si>
    <t>Project Management</t>
  </si>
  <si>
    <t>Stakeholder Mgmt</t>
  </si>
  <si>
    <t>Soft</t>
  </si>
  <si>
    <t>Communication</t>
  </si>
  <si>
    <t>Process Improvement</t>
  </si>
  <si>
    <t>Agile / Scrum</t>
  </si>
  <si>
    <t>ETL Pipelines</t>
  </si>
  <si>
    <t>Cross-functional</t>
  </si>
  <si>
    <t>Strategic Planning</t>
  </si>
  <si>
    <t>Presentation Skills</t>
  </si>
  <si>
    <t>R</t>
  </si>
  <si>
    <t xml:space="preserve">  SKILLS GAP SCORING TABLE  (SkillsGap) — Weighted Model</t>
  </si>
  <si>
    <t>Is In Resume</t>
  </si>
  <si>
    <t>Weighted Score</t>
  </si>
  <si>
    <t>Weighted Gap</t>
  </si>
  <si>
    <t>Gap Rank</t>
  </si>
  <si>
    <t>Strength Rank</t>
  </si>
  <si>
    <t xml:space="preserve">  JOB FIT SCORE</t>
  </si>
  <si>
    <t>Total Possible Weight:</t>
  </si>
  <si>
    <t>Total Achieved Weight:</t>
  </si>
  <si>
    <t>JOB FIT SCORE (0–100):</t>
  </si>
  <si>
    <t xml:space="preserve">  TOP 5 SKILLS GAPS  (Most Important Missing Skills)</t>
  </si>
  <si>
    <t>Rank</t>
  </si>
  <si>
    <t xml:space="preserve">  TOP 5 RÉSUMÉ STRENGTHS  (Highest Weighted Matching Skills)</t>
  </si>
  <si>
    <t xml:space="preserve">  System Documentation &amp; Reference Guide</t>
  </si>
  <si>
    <t xml:space="preserve">  SYSTEM OVERVIEW</t>
  </si>
  <si>
    <t>Purpose:</t>
  </si>
  <si>
    <t>Structured, data-driven, audit-ready job search management in Excel</t>
  </si>
  <si>
    <t>Design Theme:</t>
  </si>
  <si>
    <t>Quiet Productivity — Calm, low-noise, high-clarity</t>
  </si>
  <si>
    <t xml:space="preserve">  SHEET DESCRIPTIONS</t>
  </si>
  <si>
    <t>Cover</t>
  </si>
  <si>
    <t>Professional front page + version metadata</t>
  </si>
  <si>
    <t>Log</t>
  </si>
  <si>
    <t>JobLogTable — 13 columns — primary data entry sheet</t>
  </si>
  <si>
    <t>Dashboard</t>
  </si>
  <si>
    <t>KPIs + Health Score + Résumé Performance + Status Breakdown + Charts</t>
  </si>
  <si>
    <t>Analytics</t>
  </si>
  <si>
    <t>Pivot engine: ptApplicationsByWeek | ptStatusBreakdown | ptResumePerformance | ptTimeToInterview</t>
  </si>
  <si>
    <t>Timeline</t>
  </si>
  <si>
    <t>Scatter chart visualizing all events chronologically</t>
  </si>
  <si>
    <t>Skills Gap Analysis</t>
  </si>
  <si>
    <t>Skills Dictionary + Resume Skills + Job Posting Skills + Gap Scoring + Job Fit Score</t>
  </si>
  <si>
    <t>Documentation</t>
  </si>
  <si>
    <t>This sheet — all formulas, named ranges, macros, conditional formatting</t>
  </si>
  <si>
    <t xml:space="preserve">  NAMED RANGES</t>
  </si>
  <si>
    <t>ScoreA</t>
  </si>
  <si>
    <t>Dashboard!$T$12 — Application Activity Score (0–30)</t>
  </si>
  <si>
    <t>ScoreB</t>
  </si>
  <si>
    <t>Dashboard!$T$13 — Follow-Up Discipline Score (0–30)</t>
  </si>
  <si>
    <t>ScoreC</t>
  </si>
  <si>
    <t>Dashboard!$T$14 — Interview Rate Score (0–25)</t>
  </si>
  <si>
    <t>ScoreD</t>
  </si>
  <si>
    <t>Dashboard!$T$15 — Offer Rate Score (0–15)</t>
  </si>
  <si>
    <t>HealthScore</t>
  </si>
  <si>
    <t>Dashboard!$T$16 — Final Health Score = ScoreA+ScoreB+ScoreC+ScoreD</t>
  </si>
  <si>
    <t>TotalPossibleWeight</t>
  </si>
  <si>
    <t>Skills Gap Analysis — =SUM(JobPostingSkills[Weight])</t>
  </si>
  <si>
    <t>TotalAchievedWeight</t>
  </si>
  <si>
    <t>Skills Gap Analysis — =SUM(SkillsGap[Weighted Score])</t>
  </si>
  <si>
    <t>JobFitScore</t>
  </si>
  <si>
    <t>Skills Gap Analysis — =IFERROR((TotalAchievedWeight/TotalPossibleWeight)*100,0)</t>
  </si>
  <si>
    <t>JobDescriptionText</t>
  </si>
  <si>
    <t>Skills Gap Analysis!$A$4 — Paste job posting text here</t>
  </si>
  <si>
    <t xml:space="preserve">  KPI FORMULAS</t>
  </si>
  <si>
    <t>Applications This Week:</t>
  </si>
  <si>
    <t>Follow-Ups Due:</t>
  </si>
  <si>
    <t>Interview Rate:</t>
  </si>
  <si>
    <t>Offer Rate:</t>
  </si>
  <si>
    <t xml:space="preserve">  HEALTH SCORE FORMULAS</t>
  </si>
  <si>
    <t>ScoreA (0–30):</t>
  </si>
  <si>
    <t>ScoreB (0–30):</t>
  </si>
  <si>
    <t>ScoreC (0–25):</t>
  </si>
  <si>
    <t>ScoreD (0–15):</t>
  </si>
  <si>
    <t>Final Score:</t>
  </si>
  <si>
    <t xml:space="preserve">  SKILLS GAP FORMULAS</t>
  </si>
  <si>
    <t>Is In Resume:</t>
  </si>
  <si>
    <t xml:space="preserve"> =IF(COUNTIF(ResumeSkills[Skill],[@Skill])&gt;0,1,0)</t>
  </si>
  <si>
    <t>Weighted Score:</t>
  </si>
  <si>
    <t xml:space="preserve"> =[@Weight]*[@[Is In Resume]]</t>
  </si>
  <si>
    <t>Weighted Gap:</t>
  </si>
  <si>
    <t xml:space="preserve"> =IF([@[Is In Resume]]=1,0,[@Weight])</t>
  </si>
  <si>
    <t>Gap Rank:</t>
  </si>
  <si>
    <t xml:space="preserve"> =RANK([@[Weighted Gap]],SkillsGap[Weighted Gap],0)</t>
  </si>
  <si>
    <t>Strength Rank:</t>
  </si>
  <si>
    <t xml:space="preserve"> =RANK([@[Weighted Score]],SkillsGap[Weighted Score],0)</t>
  </si>
  <si>
    <t>Job Fit Score:</t>
  </si>
  <si>
    <t xml:space="preserve">  MACROS</t>
  </si>
  <si>
    <t>RefreshDashboard:</t>
  </si>
  <si>
    <t>RefreshAll → loop pivot tables → CalculateFull → MsgBox</t>
  </si>
  <si>
    <t>UpdatePivotSources:</t>
  </si>
  <si>
    <t>Loop pivot tables → ChangePivotCache to JobLogTable → MsgBox</t>
  </si>
  <si>
    <t>WeeklySummary:</t>
  </si>
  <si>
    <t>CountIfs for apps/interviews/offers/followups (last 7 days) → MsgBox</t>
  </si>
  <si>
    <t>ExtractSkills:</t>
  </si>
  <si>
    <t>Read JobDescriptionText → scan vs SkillsDictionary → write to JobPostingSkills</t>
  </si>
  <si>
    <t>To install macros:</t>
  </si>
  <si>
    <t>Alt+F11 → Insert Module → paste full VBA code from section below</t>
  </si>
  <si>
    <t xml:space="preserve">  CONDITIONAL FORMATTING — Log Sheet</t>
  </si>
  <si>
    <t>Overdue Follow-Up (Amber #E8C07D):</t>
  </si>
  <si>
    <t>Upcoming Interview (Green #7FB77E):</t>
  </si>
  <si>
    <t>Offer Highlight (Green Bold):</t>
  </si>
  <si>
    <t xml:space="preserve">  DROPDOWN LISTS</t>
  </si>
  <si>
    <t>Status (Col G):</t>
  </si>
  <si>
    <t>Applied | In Review | Interview Scheduled | Interviewed | Offer | Rejected | Closed / No Response</t>
  </si>
  <si>
    <t>Resume Version (Col F):</t>
  </si>
  <si>
    <t>Master | BI-Focused | PM-Focused | Ops-Focused | Tailored Version</t>
  </si>
  <si>
    <t>Outcome (Col K):</t>
  </si>
  <si>
    <t>Offer Accepted | Offer Declined | Rejected | No Response | Withdrew</t>
  </si>
  <si>
    <t xml:space="preserve">  TABLE DEFINITIONS</t>
  </si>
  <si>
    <t>JobLogTable (Log)</t>
  </si>
  <si>
    <t>Date Applied | Employer | Job Title | Source | Link | Resume Version | Status | Follow-Up Date | Follow-Up Notes | Interview Date | Outcome | Notes | Days to Interview</t>
  </si>
  <si>
    <t>SkillsDictionary</t>
  </si>
  <si>
    <t>Skill | Category | Weight</t>
  </si>
  <si>
    <t>ResumeSkills</t>
  </si>
  <si>
    <t>Skill | Category</t>
  </si>
  <si>
    <t>JobPostingSkills</t>
  </si>
  <si>
    <t>SkillsGap</t>
  </si>
  <si>
    <t>Skill | Category | Weight | Is In Resume | Weighted Score | Weighted Gap | Gap Rank | Strength Rank</t>
  </si>
  <si>
    <t>Top5GapsTable</t>
  </si>
  <si>
    <t>Rank | Skill | Weight | Category</t>
  </si>
  <si>
    <t>StrengthsTable</t>
  </si>
  <si>
    <t xml:space="preserve">  VERSION HISTORY</t>
  </si>
  <si>
    <t>Version</t>
  </si>
  <si>
    <t>Change Description</t>
  </si>
  <si>
    <t>Author</t>
  </si>
  <si>
    <t>Feb 2026</t>
  </si>
  <si>
    <t>Initial build — full system implementation</t>
  </si>
  <si>
    <t xml:space="preserve">  FULL VBA MACRO CODE — Copy below into VBA Editor (Alt+F11 → Insert Module)</t>
  </si>
  <si>
    <t>Option Explicit</t>
  </si>
  <si>
    <t>'-----------------------------------------------------------</t>
  </si>
  <si>
    <t>' RefreshDashboard — assign to [Refresh Dashboard] button</t>
  </si>
  <si>
    <t>Sub RefreshDashboard()</t>
  </si>
  <si>
    <t xml:space="preserve">    On Error Resume Next</t>
  </si>
  <si>
    <t xml:space="preserve">    ThisWorkbook.RefreshAll</t>
  </si>
  <si>
    <t xml:space="preserve">    On Error GoTo 0</t>
  </si>
  <si>
    <t xml:space="preserve">    Dim ws As Worksheet</t>
  </si>
  <si>
    <t xml:space="preserve">    Dim pt As PivotTable</t>
  </si>
  <si>
    <t xml:space="preserve">    For Each ws In ThisWorkbook.Worksheets</t>
  </si>
  <si>
    <t xml:space="preserve">        For Each pt In ws.PivotTables</t>
  </si>
  <si>
    <t xml:space="preserve">            pt.RefreshTable</t>
  </si>
  <si>
    <t xml:space="preserve">        Next pt</t>
  </si>
  <si>
    <t xml:space="preserve">    Next ws</t>
  </si>
  <si>
    <t xml:space="preserve">    Application.CalculateFull</t>
  </si>
  <si>
    <t xml:space="preserve">    MsgBox "Dashboard refreshed successfully.", vbInformation, "Refresh Complete"</t>
  </si>
  <si>
    <t>End Sub</t>
  </si>
  <si>
    <t>' UpdatePivotSources — assign to [Update Pivot Tables] button</t>
  </si>
  <si>
    <t>Sub UpdatePivotSources()</t>
  </si>
  <si>
    <t xml:space="preserve">    Dim src As String</t>
  </si>
  <si>
    <t xml:space="preserve">    src = "JobLogTable"</t>
  </si>
  <si>
    <t xml:space="preserve">            pt.ChangePivotCache _</t>
  </si>
  <si>
    <t xml:space="preserve">                ThisWorkbook.PivotCaches.Create( _</t>
  </si>
  <si>
    <t xml:space="preserve">                SourceType:=xlDatabase, _</t>
  </si>
  <si>
    <t xml:space="preserve">                SourceData:=src)</t>
  </si>
  <si>
    <t xml:space="preserve">    MsgBox "Pivot table sources updated.", vbInformation, "Update Complete"</t>
  </si>
  <si>
    <t>' WeeklySummary — assign to [Weekly Summary] button</t>
  </si>
  <si>
    <t>Sub WeeklySummary()</t>
  </si>
  <si>
    <t xml:space="preserve">    Dim apps As Long</t>
  </si>
  <si>
    <t xml:space="preserve">    Dim interviews As Long</t>
  </si>
  <si>
    <t xml:space="preserve">    Dim offers As Long</t>
  </si>
  <si>
    <t xml:space="preserve">    Dim followups As Long</t>
  </si>
  <si>
    <t xml:space="preserve">    apps = WorksheetFunction.CountIfs( _</t>
  </si>
  <si>
    <t xml:space="preserve">        Sheets("Log").Range("A:A"), "&gt;=" &amp; Date - 7)</t>
  </si>
  <si>
    <t xml:space="preserve">    interviews = WorksheetFunction.CountIfs( _</t>
  </si>
  <si>
    <t xml:space="preserve">        Sheets("Log").Range("G:G"), "Interview Scheduled", _</t>
  </si>
  <si>
    <t xml:space="preserve">    offers = WorksheetFunction.CountIfs( _</t>
  </si>
  <si>
    <t xml:space="preserve">        Sheets("Log").Range("G:G"), "Offer", _</t>
  </si>
  <si>
    <t xml:space="preserve">    followups = WorksheetFunction.CountIfs( _</t>
  </si>
  <si>
    <t xml:space="preserve">        Sheets("Log").Range("H:H"), "&lt;" &amp; Date, _</t>
  </si>
  <si>
    <t xml:space="preserve">        Sheets("Log").Range("G:G"), "Applied")</t>
  </si>
  <si>
    <t xml:space="preserve">    MsgBox _</t>
  </si>
  <si>
    <t xml:space="preserve">        "Weekly Summary:" &amp; vbCrLf &amp; vbCrLf &amp; _</t>
  </si>
  <si>
    <t xml:space="preserve">        "Applications: " &amp; apps &amp; vbCrLf &amp; _</t>
  </si>
  <si>
    <t xml:space="preserve">        "Interviews: " &amp; interviews &amp; vbCrLf &amp; _</t>
  </si>
  <si>
    <t xml:space="preserve">        "Offers: " &amp; offers &amp; vbCrLf &amp; _</t>
  </si>
  <si>
    <t xml:space="preserve">        "Overdue Follow-Ups: " &amp; followups, _</t>
  </si>
  <si>
    <t xml:space="preserve">        vbInformation, "Weekly Summary"</t>
  </si>
  <si>
    <t>' ExtractSkills — reads JobDescriptionText, scans vs</t>
  </si>
  <si>
    <t>' SkillsDictionary, populates JobPostingSkills (H9:J500)</t>
  </si>
  <si>
    <t>Sub ExtractSkills()</t>
  </si>
  <si>
    <t xml:space="preserve">    Dim dict As Object</t>
  </si>
  <si>
    <t xml:space="preserve">    Dim skill As Variant</t>
  </si>
  <si>
    <t xml:space="preserve">    Dim txt As String</t>
  </si>
  <si>
    <t xml:space="preserve">    Dim lastRow As Long</t>
  </si>
  <si>
    <t xml:space="preserve">    Dim i As Long</t>
  </si>
  <si>
    <t xml:space="preserve">    Dim rowOut As Long</t>
  </si>
  <si>
    <t xml:space="preserve">    Set ws = Sheets("Skills Gap Analysis")</t>
  </si>
  <si>
    <t xml:space="preserve">    txt = ws.Range("JobDescriptionText").Value</t>
  </si>
  <si>
    <t xml:space="preserve">    Set dict = CreateObject("Scripting.Dictionary")</t>
  </si>
  <si>
    <t xml:space="preserve">    lastRow = ws.Cells(ws.Rows.Count, "A").End(xlUp).Row</t>
  </si>
  <si>
    <t xml:space="preserve">    For i = 8 To lastRow</t>
  </si>
  <si>
    <t xml:space="preserve">        If ws.Cells(i, 1).Value &lt;&gt; "" Then</t>
  </si>
  <si>
    <t xml:space="preserve">            dict(ws.Cells(i, 1).Value) = ws.Cells(i, 3).Value</t>
  </si>
  <si>
    <t xml:space="preserve">        End If</t>
  </si>
  <si>
    <t xml:space="preserve">    Next i</t>
  </si>
  <si>
    <t xml:space="preserve">    ws.Range("H9:J500").ClearContents</t>
  </si>
  <si>
    <t xml:space="preserve">    rowOut = 9</t>
  </si>
  <si>
    <t xml:space="preserve">    For Each skill In dict.Keys</t>
  </si>
  <si>
    <t xml:space="preserve">        If InStr(1, txt, skill, vbTextCompare) &gt; 0 Then</t>
  </si>
  <si>
    <t xml:space="preserve">            ws.Cells(rowOut, 8).Value = skill</t>
  </si>
  <si>
    <t xml:space="preserve">            ws.Cells(rowOut, 9).Value = ""</t>
  </si>
  <si>
    <t xml:space="preserve">            ws.Cells(rowOut, 10).Value = dict(skill)</t>
  </si>
  <si>
    <t xml:space="preserve">            rowOut = rowOut + 1</t>
  </si>
  <si>
    <t xml:space="preserve">    Next skill</t>
  </si>
  <si>
    <t xml:space="preserve">    MsgBox "Skills extracted successfully.", vbInformation, "Extraction Complete"</t>
  </si>
  <si>
    <t>Versioning Legend</t>
  </si>
  <si>
    <t>Architecture (X.0.0)  – Structural redesign or core workflow changes</t>
  </si>
  <si>
    <t>Feature (0.X.0)  – New features, dashboards, or metrics added</t>
  </si>
  <si>
    <t>Refinement (0.0.X)  – Fixes, formula updates, layout or wording improvements</t>
  </si>
  <si>
    <t>2.0.1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</si>
</sst>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%"/>
    <numFmt numFmtId="166" formatCode="0.0"/>
  </numFmts>
  <fonts count="28" x14ac:knownFonts="1">
    <font>
      <sz val="11"/>
      <color theme="1"/>
      <name val="Calibri"/>
      <family val="2"/>
      <charset val="1"/>
    </font>
    <font>
      <b/>
      <sz val="30"/>
      <color rgb="FFC9D1D3"/>
      <name val="Calibri"/>
      <family val="2"/>
    </font>
    <font>
      <sz val="16"/>
      <color rgb="FF4F8A8B"/>
      <name val="Calibri"/>
      <family val="2"/>
    </font>
    <font>
      <b/>
      <sz val="12"/>
      <color rgb="FF4F8A8B"/>
      <name val="Calibri"/>
      <family val="2"/>
    </font>
    <font>
      <sz val="12"/>
      <color rgb="FFC9D1D3"/>
      <name val="Calibri"/>
      <family val="2"/>
    </font>
    <font>
      <sz val="10"/>
      <color rgb="FF4F8A8B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1E1E1E"/>
      <name val="Calibri"/>
      <family val="2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b/>
      <sz val="24"/>
      <color rgb="FF7FB77E"/>
      <name val="Calibri"/>
      <family val="2"/>
    </font>
    <font>
      <sz val="11"/>
      <color rgb="FFC9D1D3"/>
      <name val="Calibri"/>
      <family val="2"/>
    </font>
    <font>
      <sz val="10"/>
      <color rgb="FFC9D1D3"/>
      <name val="Calibri"/>
      <family val="2"/>
    </font>
    <font>
      <b/>
      <sz val="12"/>
      <color rgb="FF7FB77E"/>
      <name val="Calibri"/>
      <family val="2"/>
    </font>
    <font>
      <b/>
      <sz val="10"/>
      <color rgb="FFC9D1D3"/>
      <name val="Calibri"/>
      <family val="2"/>
    </font>
    <font>
      <b/>
      <sz val="14"/>
      <color rgb="FFE8C07D"/>
      <name val="Calibri"/>
      <family val="2"/>
    </font>
    <font>
      <sz val="9"/>
      <color rgb="FF4F8A8B"/>
      <name val="Calibri"/>
      <family val="2"/>
    </font>
    <font>
      <b/>
      <sz val="9"/>
      <color rgb="FF1E1E1E"/>
      <name val="Calibri"/>
      <family val="2"/>
    </font>
    <font>
      <b/>
      <sz val="9"/>
      <color rgb="FF4F8A8B"/>
      <name val="Calibri"/>
      <family val="2"/>
    </font>
    <font>
      <sz val="9"/>
      <color rgb="FF1E1E1E"/>
      <name val="Calibri"/>
      <family val="2"/>
    </font>
    <font>
      <b/>
      <sz val="10"/>
      <color rgb="FF1E1E1E"/>
      <name val="Calibri"/>
      <family val="2"/>
    </font>
    <font>
      <b/>
      <sz val="12"/>
      <color rgb="FF3A4A5A"/>
      <name val="Calibri"/>
      <family val="2"/>
    </font>
    <font>
      <b/>
      <sz val="14"/>
      <color rgb="FFFFFFFF"/>
      <name val="Calibri"/>
      <family val="2"/>
    </font>
    <font>
      <b/>
      <sz val="22"/>
      <color rgb="FF7FB77E"/>
      <name val="Calibri"/>
      <family val="2"/>
    </font>
    <font>
      <sz val="8"/>
      <color rgb="FF1E1E1E"/>
      <name val="Courier New"/>
      <family val="3"/>
    </font>
    <font>
      <sz val="11"/>
      <color theme="0" tint="-0.14999847407452621"/>
      <name val="Calibri"/>
      <family val="2"/>
      <charset val="1"/>
    </font>
    <font>
      <b/>
      <u/>
      <sz val="11"/>
      <color theme="0" tint="-0.1499984740745262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E1E1E"/>
        <bgColor rgb="FF333300"/>
      </patternFill>
    </fill>
    <fill>
      <patternFill patternType="solid">
        <fgColor rgb="FF3A4A5A"/>
        <bgColor rgb="FF333300"/>
      </patternFill>
    </fill>
    <fill>
      <patternFill patternType="solid">
        <fgColor rgb="FFF5F5F5"/>
        <bgColor rgb="FFF9F9F9"/>
      </patternFill>
    </fill>
    <fill>
      <patternFill patternType="solid">
        <fgColor rgb="FFE8EAEB"/>
        <bgColor rgb="FFEEF2F5"/>
      </patternFill>
    </fill>
    <fill>
      <patternFill patternType="solid">
        <fgColor rgb="FFFFFFFF"/>
        <bgColor rgb="FFF9F9F9"/>
      </patternFill>
    </fill>
    <fill>
      <patternFill patternType="solid">
        <fgColor rgb="FF4F8A8B"/>
        <bgColor rgb="FF666699"/>
      </patternFill>
    </fill>
    <fill>
      <patternFill patternType="solid">
        <fgColor rgb="FFE8C07D"/>
        <bgColor rgb="FFC9D1D3"/>
      </patternFill>
    </fill>
    <fill>
      <patternFill patternType="solid">
        <fgColor rgb="FFC97A7A"/>
        <bgColor rgb="FF878787"/>
      </patternFill>
    </fill>
    <fill>
      <patternFill patternType="solid">
        <fgColor rgb="FF7FB77E"/>
        <bgColor rgb="FF878787"/>
      </patternFill>
    </fill>
    <fill>
      <patternFill patternType="solid">
        <fgColor rgb="FFEEF2F5"/>
        <bgColor rgb="FFF5F5F5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4F8A8B"/>
      </bottom>
      <diagonal/>
    </border>
    <border>
      <left style="thin">
        <color rgb="FF4F8A8B"/>
      </left>
      <right style="thin">
        <color rgb="FF4F8A8B"/>
      </right>
      <top style="thin">
        <color rgb="FF4F8A8B"/>
      </top>
      <bottom style="thin">
        <color rgb="FF4F8A8B"/>
      </bottom>
      <diagonal/>
    </border>
    <border>
      <left style="thin">
        <color rgb="FFC9D1D3"/>
      </left>
      <right style="thin">
        <color rgb="FFC9D1D3"/>
      </right>
      <top style="thin">
        <color rgb="FFC9D1D3"/>
      </top>
      <bottom style="thin">
        <color rgb="FFC9D1D3"/>
      </bottom>
      <diagonal/>
    </border>
    <border>
      <left/>
      <right/>
      <top style="medium">
        <color rgb="FF4F8A8B"/>
      </top>
      <bottom/>
      <diagonal/>
    </border>
    <border>
      <left style="medium">
        <color rgb="FF4F8A8B"/>
      </left>
      <right style="medium">
        <color rgb="FF4F8A8B"/>
      </right>
      <top/>
      <bottom/>
      <diagonal/>
    </border>
    <border>
      <left style="thin">
        <color rgb="FF4F8A8B"/>
      </left>
      <right/>
      <top style="thin">
        <color rgb="FF4F8A8B"/>
      </top>
      <bottom style="thin">
        <color rgb="FF4F8A8B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1" xfId="0" applyFill="1" applyBorder="1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center" vertical="center"/>
    </xf>
    <xf numFmtId="1" fontId="8" fillId="5" borderId="3" xfId="0" applyNumberFormat="1" applyFont="1" applyFill="1" applyBorder="1" applyAlignment="1">
      <alignment horizontal="center" vertical="center"/>
    </xf>
    <xf numFmtId="164" fontId="8" fillId="6" borderId="3" xfId="0" applyNumberFormat="1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4" borderId="0" xfId="0" applyFill="1"/>
    <xf numFmtId="0" fontId="0" fillId="3" borderId="4" xfId="0" applyFill="1" applyBorder="1"/>
    <xf numFmtId="0" fontId="0" fillId="3" borderId="1" xfId="0" applyFill="1" applyBorder="1"/>
    <xf numFmtId="166" fontId="0" fillId="4" borderId="0" xfId="0" applyNumberFormat="1" applyFill="1"/>
    <xf numFmtId="165" fontId="8" fillId="4" borderId="3" xfId="0" applyNumberFormat="1" applyFont="1" applyFill="1" applyBorder="1" applyAlignment="1">
      <alignment horizontal="center" vertical="center"/>
    </xf>
    <xf numFmtId="165" fontId="8" fillId="6" borderId="3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19" fillId="0" borderId="0" xfId="0" applyFont="1"/>
    <xf numFmtId="0" fontId="8" fillId="4" borderId="0" xfId="0" applyFont="1" applyFill="1"/>
    <xf numFmtId="0" fontId="8" fillId="4" borderId="0" xfId="0" applyFont="1" applyFill="1" applyAlignment="1">
      <alignment horizontal="center" vertical="center"/>
    </xf>
    <xf numFmtId="0" fontId="8" fillId="6" borderId="0" xfId="0" applyFont="1" applyFill="1"/>
    <xf numFmtId="0" fontId="8" fillId="6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165" fontId="8" fillId="4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165" fontId="8" fillId="6" borderId="0" xfId="0" applyNumberFormat="1" applyFont="1" applyFill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/>
    </xf>
    <xf numFmtId="164" fontId="8" fillId="6" borderId="3" xfId="0" applyNumberFormat="1" applyFont="1" applyFill="1" applyBorder="1" applyAlignment="1">
      <alignment horizontal="center" vertical="center"/>
    </xf>
    <xf numFmtId="164" fontId="20" fillId="4" borderId="3" xfId="0" applyNumberFormat="1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left" vertical="center"/>
    </xf>
    <xf numFmtId="0" fontId="20" fillId="4" borderId="3" xfId="0" applyFont="1" applyFill="1" applyBorder="1" applyAlignment="1">
      <alignment horizontal="center" vertical="center"/>
    </xf>
    <xf numFmtId="164" fontId="20" fillId="6" borderId="3" xfId="0" applyNumberFormat="1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left" vertical="center"/>
    </xf>
    <xf numFmtId="0" fontId="20" fillId="6" borderId="3" xfId="0" applyFont="1" applyFill="1" applyBorder="1" applyAlignment="1">
      <alignment horizontal="center" vertical="center"/>
    </xf>
    <xf numFmtId="0" fontId="21" fillId="0" borderId="0" xfId="0" applyFont="1"/>
    <xf numFmtId="1" fontId="22" fillId="0" borderId="0" xfId="0" applyNumberFormat="1" applyFont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11" fillId="3" borderId="5" xfId="0" applyFont="1" applyFill="1" applyBorder="1" applyAlignment="1">
      <alignment horizontal="center" vertical="center"/>
    </xf>
    <xf numFmtId="165" fontId="11" fillId="3" borderId="5" xfId="0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166" fontId="14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15" fillId="3" borderId="0" xfId="0" applyFont="1" applyFill="1" applyAlignment="1">
      <alignment horizontal="left" vertical="center"/>
    </xf>
    <xf numFmtId="166" fontId="16" fillId="3" borderId="0" xfId="0" applyNumberFormat="1" applyFont="1" applyFill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 wrapText="1"/>
    </xf>
    <xf numFmtId="0" fontId="20" fillId="8" borderId="0" xfId="0" applyFont="1" applyFill="1" applyAlignment="1">
      <alignment horizontal="left" vertical="center" wrapText="1"/>
    </xf>
    <xf numFmtId="0" fontId="17" fillId="4" borderId="0" xfId="0" applyFont="1" applyFill="1"/>
    <xf numFmtId="0" fontId="8" fillId="4" borderId="6" xfId="0" applyFont="1" applyFill="1" applyBorder="1" applyAlignment="1">
      <alignment horizontal="left" vertical="top" wrapText="1"/>
    </xf>
    <xf numFmtId="0" fontId="10" fillId="10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166" fontId="24" fillId="3" borderId="0" xfId="0" applyNumberFormat="1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/>
    </xf>
    <xf numFmtId="0" fontId="25" fillId="11" borderId="0" xfId="0" applyFont="1" applyFill="1" applyAlignment="1">
      <alignment horizontal="left" vertical="center"/>
    </xf>
    <xf numFmtId="0" fontId="26" fillId="2" borderId="0" xfId="0" applyFont="1" applyFill="1"/>
    <xf numFmtId="0" fontId="27" fillId="2" borderId="0" xfId="0" applyFont="1" applyFill="1"/>
  </cellXfs>
  <cellStyles count="1">
    <cellStyle name="Normal" xfId="0" builtinId="0"/>
  </cellStyles>
  <dxfs count="3">
    <dxf>
      <font>
        <b/>
        <color rgb="FF1E1E1E"/>
      </font>
      <fill>
        <patternFill>
          <bgColor rgb="FF7FB77E"/>
        </patternFill>
      </fill>
    </dxf>
    <dxf>
      <font>
        <color rgb="FF1E1E1E"/>
      </font>
      <fill>
        <patternFill>
          <bgColor rgb="FF7FB77E"/>
        </patternFill>
      </fill>
    </dxf>
    <dxf>
      <font>
        <color rgb="FF1E1E1E"/>
      </font>
      <fill>
        <patternFill>
          <bgColor rgb="FFE8C07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EEF2F5"/>
      <rgbColor rgb="FF660066"/>
      <rgbColor rgb="FFC97A7A"/>
      <rgbColor rgb="FF0066CC"/>
      <rgbColor rgb="FFC9D1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EB"/>
      <rgbColor rgb="FFF5F5F5"/>
      <rgbColor rgb="FFFFFF99"/>
      <rgbColor rgb="FF99CCFF"/>
      <rgbColor rgb="FFFF99CC"/>
      <rgbColor rgb="FFCC99FF"/>
      <rgbColor rgb="FFE8C07D"/>
      <rgbColor rgb="FF3366FF"/>
      <rgbColor rgb="FF33CCCC"/>
      <rgbColor rgb="FF99CC00"/>
      <rgbColor rgb="FFFFCC00"/>
      <rgbColor rgb="FFFF9900"/>
      <rgbColor rgb="FFFF6600"/>
      <rgbColor rgb="FF666699"/>
      <rgbColor rgb="FF7FB77E"/>
      <rgbColor rgb="FF003366"/>
      <rgbColor rgb="FF4F8A8B"/>
      <rgbColor rgb="FF003300"/>
      <rgbColor rgb="FF333300"/>
      <rgbColor rgb="FF993300"/>
      <rgbColor rgb="FF993366"/>
      <rgbColor rgb="FF3A4A5A"/>
      <rgbColor rgb="FF1E1E1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Dashboard!$C$27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A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Dashboard!$B$28:$B$34</c:f>
              <c:strCache>
                <c:ptCount val="7"/>
                <c:pt idx="0">
                  <c:v>Applied</c:v>
                </c:pt>
                <c:pt idx="1">
                  <c:v>In Review</c:v>
                </c:pt>
                <c:pt idx="2">
                  <c:v>Interview Scheduled</c:v>
                </c:pt>
                <c:pt idx="3">
                  <c:v>Interviewed</c:v>
                </c:pt>
                <c:pt idx="4">
                  <c:v>Offer</c:v>
                </c:pt>
                <c:pt idx="5">
                  <c:v>Rejected</c:v>
                </c:pt>
                <c:pt idx="6">
                  <c:v>Closed / No Response</c:v>
                </c:pt>
              </c:strCache>
            </c:strRef>
          </c:cat>
          <c:val>
            <c:numRef>
              <c:f>Dashboard!$C$28:$C$34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4-4C3A-BAD2-E075FF69D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56118"/>
        <c:axId val="98881571"/>
      </c:barChart>
      <c:catAx>
        <c:axId val="1125611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881571"/>
        <c:crosses val="autoZero"/>
        <c:auto val="1"/>
        <c:lblAlgn val="ctr"/>
        <c:lblOffset val="100"/>
        <c:noMultiLvlLbl val="0"/>
      </c:catAx>
      <c:valAx>
        <c:axId val="988815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2561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Résumé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Dashboard!$D$18</c:f>
              <c:strCache>
                <c:ptCount val="1"/>
                <c:pt idx="0">
                  <c:v>Interviews</c:v>
                </c:pt>
              </c:strCache>
            </c:strRef>
          </c:tx>
          <c:spPr>
            <a:solidFill>
              <a:srgbClr val="4F8A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Dashboard!$B$19:$B$23</c:f>
              <c:strCache>
                <c:ptCount val="5"/>
                <c:pt idx="0">
                  <c:v>Master</c:v>
                </c:pt>
                <c:pt idx="1">
                  <c:v>BI-Focused</c:v>
                </c:pt>
                <c:pt idx="2">
                  <c:v>PM-Focused</c:v>
                </c:pt>
                <c:pt idx="3">
                  <c:v>Ops-Focused</c:v>
                </c:pt>
                <c:pt idx="4">
                  <c:v>Tailored Version</c:v>
                </c:pt>
              </c:strCache>
            </c:strRef>
          </c:cat>
          <c:val>
            <c:numRef>
              <c:f>Dashboard!$D$19:$D$23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6-42F7-A56C-DD91DC1DFA3E}"/>
            </c:ext>
          </c:extLst>
        </c:ser>
        <c:ser>
          <c:idx val="1"/>
          <c:order val="1"/>
          <c:tx>
            <c:strRef>
              <c:f>Dashboard!$E$18</c:f>
              <c:strCache>
                <c:ptCount val="1"/>
                <c:pt idx="0">
                  <c:v>Offers</c:v>
                </c:pt>
              </c:strCache>
            </c:strRef>
          </c:tx>
          <c:spPr>
            <a:solidFill>
              <a:srgbClr val="7FB77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Dashboard!$B$19:$B$23</c:f>
              <c:strCache>
                <c:ptCount val="5"/>
                <c:pt idx="0">
                  <c:v>Master</c:v>
                </c:pt>
                <c:pt idx="1">
                  <c:v>BI-Focused</c:v>
                </c:pt>
                <c:pt idx="2">
                  <c:v>PM-Focused</c:v>
                </c:pt>
                <c:pt idx="3">
                  <c:v>Ops-Focused</c:v>
                </c:pt>
                <c:pt idx="4">
                  <c:v>Tailored Version</c:v>
                </c:pt>
              </c:strCache>
            </c:strRef>
          </c:cat>
          <c:val>
            <c:numRef>
              <c:f>Dashboard!$E$19:$E$23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6-42F7-A56C-DD91DC1DF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02194"/>
        <c:axId val="20097122"/>
      </c:barChart>
      <c:catAx>
        <c:axId val="27021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Version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97122"/>
        <c:crosses val="autoZero"/>
        <c:auto val="1"/>
        <c:lblAlgn val="ctr"/>
        <c:lblOffset val="100"/>
        <c:noMultiLvlLbl val="0"/>
      </c:catAx>
      <c:valAx>
        <c:axId val="200971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21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Analytics!$B$10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A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Analytics!$A$11:$A$17</c:f>
              <c:strCache>
                <c:ptCount val="7"/>
                <c:pt idx="0">
                  <c:v>Applied</c:v>
                </c:pt>
                <c:pt idx="1">
                  <c:v>In Review</c:v>
                </c:pt>
                <c:pt idx="2">
                  <c:v>Interview Scheduled</c:v>
                </c:pt>
                <c:pt idx="3">
                  <c:v>Interviewed</c:v>
                </c:pt>
                <c:pt idx="4">
                  <c:v>Offer</c:v>
                </c:pt>
                <c:pt idx="5">
                  <c:v>Rejected</c:v>
                </c:pt>
                <c:pt idx="6">
                  <c:v>Closed / No Response</c:v>
                </c:pt>
              </c:strCache>
            </c:strRef>
          </c:cat>
          <c:val>
            <c:numRef>
              <c:f>Analytics!$B$11:$B$17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0-476E-8D4A-D55388D8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757301"/>
        <c:axId val="95415979"/>
      </c:barChart>
      <c:catAx>
        <c:axId val="6275730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415979"/>
        <c:crosses val="autoZero"/>
        <c:auto val="1"/>
        <c:lblAlgn val="ctr"/>
        <c:lblOffset val="100"/>
        <c:noMultiLvlLbl val="0"/>
      </c:catAx>
      <c:valAx>
        <c:axId val="9541597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7573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Résumé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Analytics!$C$21</c:f>
              <c:strCache>
                <c:ptCount val="1"/>
                <c:pt idx="0">
                  <c:v>Interviews</c:v>
                </c:pt>
              </c:strCache>
            </c:strRef>
          </c:tx>
          <c:spPr>
            <a:solidFill>
              <a:srgbClr val="4F8A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Analytics!$A$22:$A$26</c:f>
              <c:strCache>
                <c:ptCount val="5"/>
                <c:pt idx="0">
                  <c:v>Master</c:v>
                </c:pt>
                <c:pt idx="1">
                  <c:v>BI-Focused</c:v>
                </c:pt>
                <c:pt idx="2">
                  <c:v>PM-Focused</c:v>
                </c:pt>
                <c:pt idx="3">
                  <c:v>Ops-Focused</c:v>
                </c:pt>
                <c:pt idx="4">
                  <c:v>Tailored Version</c:v>
                </c:pt>
              </c:strCache>
            </c:strRef>
          </c:cat>
          <c:val>
            <c:numRef>
              <c:f>Analytics!$C$22:$C$26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B-4AAC-86CF-CBF6808CBDAF}"/>
            </c:ext>
          </c:extLst>
        </c:ser>
        <c:ser>
          <c:idx val="1"/>
          <c:order val="1"/>
          <c:tx>
            <c:strRef>
              <c:f>Analytics!$D$21</c:f>
              <c:strCache>
                <c:ptCount val="1"/>
                <c:pt idx="0">
                  <c:v>Offers</c:v>
                </c:pt>
              </c:strCache>
            </c:strRef>
          </c:tx>
          <c:spPr>
            <a:solidFill>
              <a:srgbClr val="7FB77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Analytics!$A$22:$A$26</c:f>
              <c:strCache>
                <c:ptCount val="5"/>
                <c:pt idx="0">
                  <c:v>Master</c:v>
                </c:pt>
                <c:pt idx="1">
                  <c:v>BI-Focused</c:v>
                </c:pt>
                <c:pt idx="2">
                  <c:v>PM-Focused</c:v>
                </c:pt>
                <c:pt idx="3">
                  <c:v>Ops-Focused</c:v>
                </c:pt>
                <c:pt idx="4">
                  <c:v>Tailored Version</c:v>
                </c:pt>
              </c:strCache>
            </c:strRef>
          </c:cat>
          <c:val>
            <c:numRef>
              <c:f>Analytics!$D$22:$D$26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4B-4AAC-86CF-CBF6808CB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020681"/>
        <c:axId val="2121644"/>
      </c:barChart>
      <c:catAx>
        <c:axId val="910206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Version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21644"/>
        <c:crosses val="autoZero"/>
        <c:auto val="1"/>
        <c:lblAlgn val="ctr"/>
        <c:lblOffset val="100"/>
        <c:noMultiLvlLbl val="0"/>
      </c:catAx>
      <c:valAx>
        <c:axId val="2121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0206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Weekly Application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Analytics!$C$36</c:f>
              <c:strCache>
                <c:ptCount val="1"/>
                <c:pt idx="0">
                  <c:v>Applications</c:v>
                </c:pt>
              </c:strCache>
            </c:strRef>
          </c:tx>
          <c:spPr>
            <a:ln w="47520">
              <a:solidFill>
                <a:srgbClr val="4F8A8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Analytics!$A$37:$A$44</c:f>
              <c:numCache>
                <c:formatCode>mm/dd/yyyy</c:formatCode>
                <c:ptCount val="8"/>
                <c:pt idx="0">
                  <c:v>46026</c:v>
                </c:pt>
                <c:pt idx="1">
                  <c:v>46033</c:v>
                </c:pt>
                <c:pt idx="2">
                  <c:v>46040</c:v>
                </c:pt>
                <c:pt idx="3">
                  <c:v>46047</c:v>
                </c:pt>
                <c:pt idx="4">
                  <c:v>46054</c:v>
                </c:pt>
                <c:pt idx="5">
                  <c:v>46061</c:v>
                </c:pt>
                <c:pt idx="6">
                  <c:v>46068</c:v>
                </c:pt>
                <c:pt idx="7">
                  <c:v>46075</c:v>
                </c:pt>
              </c:numCache>
            </c:numRef>
          </c:cat>
          <c:val>
            <c:numRef>
              <c:f>Analytics!$C$37:$C$44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42-469D-ACEA-43CAA59D8226}"/>
            </c:ext>
          </c:extLst>
        </c:ser>
        <c:ser>
          <c:idx val="1"/>
          <c:order val="1"/>
          <c:tx>
            <c:strRef>
              <c:f>Analytics!$D$36</c:f>
              <c:strCache>
                <c:ptCount val="1"/>
                <c:pt idx="0">
                  <c:v>Interviews</c:v>
                </c:pt>
              </c:strCache>
            </c:strRef>
          </c:tx>
          <c:spPr>
            <a:ln w="47520">
              <a:solidFill>
                <a:srgbClr val="7FB77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Analytics!$A$37:$A$44</c:f>
              <c:numCache>
                <c:formatCode>mm/dd/yyyy</c:formatCode>
                <c:ptCount val="8"/>
                <c:pt idx="0">
                  <c:v>46026</c:v>
                </c:pt>
                <c:pt idx="1">
                  <c:v>46033</c:v>
                </c:pt>
                <c:pt idx="2">
                  <c:v>46040</c:v>
                </c:pt>
                <c:pt idx="3">
                  <c:v>46047</c:v>
                </c:pt>
                <c:pt idx="4">
                  <c:v>46054</c:v>
                </c:pt>
                <c:pt idx="5">
                  <c:v>46061</c:v>
                </c:pt>
                <c:pt idx="6">
                  <c:v>46068</c:v>
                </c:pt>
                <c:pt idx="7">
                  <c:v>46075</c:v>
                </c:pt>
              </c:numCache>
            </c:numRef>
          </c:cat>
          <c:val>
            <c:numRef>
              <c:f>Analytics!$D$37:$D$44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642-469D-ACEA-43CAA59D8226}"/>
            </c:ext>
          </c:extLst>
        </c:ser>
        <c:ser>
          <c:idx val="2"/>
          <c:order val="2"/>
          <c:tx>
            <c:strRef>
              <c:f>Analytics!$E$36</c:f>
              <c:strCache>
                <c:ptCount val="1"/>
                <c:pt idx="0">
                  <c:v>Offers</c:v>
                </c:pt>
              </c:strCache>
            </c:strRef>
          </c:tx>
          <c:spPr>
            <a:ln w="47520">
              <a:solidFill>
                <a:srgbClr val="C97A7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Analytics!$A$37:$A$44</c:f>
              <c:numCache>
                <c:formatCode>mm/dd/yyyy</c:formatCode>
                <c:ptCount val="8"/>
                <c:pt idx="0">
                  <c:v>46026</c:v>
                </c:pt>
                <c:pt idx="1">
                  <c:v>46033</c:v>
                </c:pt>
                <c:pt idx="2">
                  <c:v>46040</c:v>
                </c:pt>
                <c:pt idx="3">
                  <c:v>46047</c:v>
                </c:pt>
                <c:pt idx="4">
                  <c:v>46054</c:v>
                </c:pt>
                <c:pt idx="5">
                  <c:v>46061</c:v>
                </c:pt>
                <c:pt idx="6">
                  <c:v>46068</c:v>
                </c:pt>
                <c:pt idx="7">
                  <c:v>46075</c:v>
                </c:pt>
              </c:numCache>
            </c:numRef>
          </c:cat>
          <c:val>
            <c:numRef>
              <c:f>Analytics!$E$37:$E$44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642-469D-ACEA-43CAA59D8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726696"/>
        <c:axId val="42984343"/>
      </c:lineChart>
      <c:dateAx>
        <c:axId val="777266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Week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984343"/>
        <c:crosses val="autoZero"/>
        <c:auto val="1"/>
        <c:lblOffset val="100"/>
        <c:baseTimeUnit val="days"/>
      </c:dateAx>
      <c:valAx>
        <c:axId val="429843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7266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Job Search Timeline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Events</c:v>
          </c:tx>
          <c:spPr>
            <a:ln w="47520">
              <a:noFill/>
            </a:ln>
          </c:spPr>
          <c:marker>
            <c:symbol val="circle"/>
            <c:size val="7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Timeline!$A$4:$A$23</c:f>
              <c:strCache>
                <c:ptCount val="18"/>
                <c:pt idx="0">
                  <c:v>02/10/2026</c:v>
                </c:pt>
                <c:pt idx="1">
                  <c:v>02/15/2026</c:v>
                </c:pt>
                <c:pt idx="2">
                  <c:v>02/20/2026</c:v>
                </c:pt>
                <c:pt idx="4">
                  <c:v>02/12/2026</c:v>
                </c:pt>
                <c:pt idx="5">
                  <c:v>02/17/2026</c:v>
                </c:pt>
                <c:pt idx="8">
                  <c:v>02/14/2026</c:v>
                </c:pt>
                <c:pt idx="9">
                  <c:v>02/19/2026</c:v>
                </c:pt>
                <c:pt idx="12">
                  <c:v>02/17/2026</c:v>
                </c:pt>
                <c:pt idx="13">
                  <c:v>02/22/2026</c:v>
                </c:pt>
                <c:pt idx="15">
                  <c:v>01/00/1900</c:v>
                </c:pt>
                <c:pt idx="16">
                  <c:v>02/20/2026</c:v>
                </c:pt>
                <c:pt idx="17">
                  <c:v>02/25/2026</c:v>
                </c:pt>
              </c:strCache>
            </c:strRef>
          </c:xVal>
          <c:yVal>
            <c:numRef>
              <c:f>Timeline!$D$4:$D$23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F5-4608-AE95-65C00410F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3091"/>
        <c:axId val="31865664"/>
      </c:scatterChart>
      <c:valAx>
        <c:axId val="6570309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865664"/>
        <c:crosses val="autoZero"/>
        <c:crossBetween val="midCat"/>
      </c:valAx>
      <c:valAx>
        <c:axId val="31865664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6570309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26</xdr:row>
      <xdr:rowOff>0</xdr:rowOff>
    </xdr:from>
    <xdr:to>
      <xdr:col>10</xdr:col>
      <xdr:colOff>104760</xdr:colOff>
      <xdr:row>41</xdr:row>
      <xdr:rowOff>7920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16</xdr:row>
      <xdr:rowOff>0</xdr:rowOff>
    </xdr:from>
    <xdr:to>
      <xdr:col>10</xdr:col>
      <xdr:colOff>104760</xdr:colOff>
      <xdr:row>31</xdr:row>
      <xdr:rowOff>93600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200025</xdr:colOff>
      <xdr:row>0</xdr:row>
      <xdr:rowOff>161925</xdr:rowOff>
    </xdr:from>
    <xdr:to>
      <xdr:col>14</xdr:col>
      <xdr:colOff>346905</xdr:colOff>
      <xdr:row>15</xdr:row>
      <xdr:rowOff>55650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15</xdr:col>
      <xdr:colOff>255240</xdr:colOff>
      <xdr:row>36</xdr:row>
      <xdr:rowOff>74880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7</xdr:col>
      <xdr:colOff>243720</xdr:colOff>
      <xdr:row>63</xdr:row>
      <xdr:rowOff>169920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21</xdr:col>
      <xdr:colOff>294840</xdr:colOff>
      <xdr:row>19</xdr:row>
      <xdr:rowOff>122040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bLogTable" displayName="JobLogTable" ref="A2:M7" totalsRowShown="0">
  <autoFilter ref="A2:M7" xr:uid="{00000000-0009-0000-0100-000001000000}"/>
  <tableColumns count="13">
    <tableColumn id="1" xr3:uid="{00000000-0010-0000-0000-000001000000}" name="Date Applied"/>
    <tableColumn id="2" xr3:uid="{00000000-0010-0000-0000-000002000000}" name="Employer"/>
    <tableColumn id="3" xr3:uid="{00000000-0010-0000-0000-000003000000}" name="Job Title"/>
    <tableColumn id="4" xr3:uid="{00000000-0010-0000-0000-000004000000}" name="Source / How Applied"/>
    <tableColumn id="5" xr3:uid="{00000000-0010-0000-0000-000005000000}" name="Job Posting Link"/>
    <tableColumn id="6" xr3:uid="{00000000-0010-0000-0000-000006000000}" name="Resume Version Used"/>
    <tableColumn id="7" xr3:uid="{00000000-0010-0000-0000-000007000000}" name="Status"/>
    <tableColumn id="8" xr3:uid="{00000000-0010-0000-0000-000008000000}" name="Follow-Up Date"/>
    <tableColumn id="9" xr3:uid="{00000000-0010-0000-0000-000009000000}" name="Follow-Up Notes"/>
    <tableColumn id="10" xr3:uid="{00000000-0010-0000-0000-00000A000000}" name="Interview Date"/>
    <tableColumn id="11" xr3:uid="{00000000-0010-0000-0000-00000B000000}" name="Outcome"/>
    <tableColumn id="12" xr3:uid="{00000000-0010-0000-0000-00000C000000}" name="Notes"/>
    <tableColumn id="13" xr3:uid="{00000000-0010-0000-0000-00000D000000}" name="Days to Interview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obPostingSkills" displayName="JobPostingSkills" ref="H7:J19" totalsRowShown="0">
  <autoFilter ref="H7:J19" xr:uid="{00000000-0009-0000-0100-000002000000}"/>
  <tableColumns count="3">
    <tableColumn id="1" xr3:uid="{00000000-0010-0000-0100-000001000000}" name="Skill"/>
    <tableColumn id="2" xr3:uid="{00000000-0010-0000-0100-000002000000}" name="Category"/>
    <tableColumn id="3" xr3:uid="{00000000-0010-0000-0100-000003000000}" name="Weigh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meSkills" displayName="ResumeSkills" ref="E7:F22" totalsRowShown="0">
  <autoFilter ref="E7:F22" xr:uid="{00000000-0009-0000-0100-000003000000}"/>
  <tableColumns count="2">
    <tableColumn id="1" xr3:uid="{00000000-0010-0000-0200-000001000000}" name="Skill"/>
    <tableColumn id="2" xr3:uid="{00000000-0010-0000-0200-000002000000}" name="Categor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killsDictionary" displayName="SkillsDictionary" ref="A7:C27" totalsRowShown="0">
  <autoFilter ref="A7:C27" xr:uid="{00000000-0009-0000-0100-000004000000}"/>
  <tableColumns count="3">
    <tableColumn id="1" xr3:uid="{00000000-0010-0000-0300-000001000000}" name="Skill"/>
    <tableColumn id="2" xr3:uid="{00000000-0010-0000-0300-000002000000}" name="Category"/>
    <tableColumn id="3" xr3:uid="{00000000-0010-0000-0300-000003000000}" name="Weigh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killsGap" displayName="SkillsGap" ref="A31:H43" totalsRowShown="0">
  <autoFilter ref="A31:H43" xr:uid="{00000000-0009-0000-0100-000005000000}"/>
  <tableColumns count="8">
    <tableColumn id="1" xr3:uid="{00000000-0010-0000-0400-000001000000}" name="Skill"/>
    <tableColumn id="2" xr3:uid="{00000000-0010-0000-0400-000002000000}" name="Category"/>
    <tableColumn id="3" xr3:uid="{00000000-0010-0000-0400-000003000000}" name="Weight"/>
    <tableColumn id="4" xr3:uid="{00000000-0010-0000-0400-000004000000}" name="Is In Resume"/>
    <tableColumn id="5" xr3:uid="{00000000-0010-0000-0400-000005000000}" name="Weighted Score"/>
    <tableColumn id="6" xr3:uid="{00000000-0010-0000-0400-000006000000}" name="Weighted Gap"/>
    <tableColumn id="7" xr3:uid="{00000000-0010-0000-0400-000007000000}" name="Gap Rank"/>
    <tableColumn id="8" xr3:uid="{00000000-0010-0000-0400-000008000000}" name="Strength Rank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trengthsTable" displayName="StrengthsTable" ref="A59:D64" totalsRowShown="0">
  <autoFilter ref="A59:D64" xr:uid="{00000000-0009-0000-0100-000006000000}"/>
  <tableColumns count="4">
    <tableColumn id="1" xr3:uid="{00000000-0010-0000-0500-000001000000}" name="Rank"/>
    <tableColumn id="2" xr3:uid="{00000000-0010-0000-0500-000002000000}" name="Skill"/>
    <tableColumn id="3" xr3:uid="{00000000-0010-0000-0500-000003000000}" name="Weight"/>
    <tableColumn id="4" xr3:uid="{00000000-0010-0000-0500-000004000000}" name="Category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op5GapsTable" displayName="Top5GapsTable" ref="A51:D56" totalsRowShown="0">
  <autoFilter ref="A51:D56" xr:uid="{00000000-0009-0000-0100-000007000000}"/>
  <tableColumns count="4">
    <tableColumn id="1" xr3:uid="{00000000-0010-0000-0600-000001000000}" name="Rank"/>
    <tableColumn id="2" xr3:uid="{00000000-0010-0000-0600-000002000000}" name="Skill"/>
    <tableColumn id="3" xr3:uid="{00000000-0010-0000-0600-000003000000}" name="Weight"/>
    <tableColumn id="4" xr3:uid="{00000000-0010-0000-0600-000004000000}" name="Categ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3A4A5A"/>
  </sheetPr>
  <dimension ref="A1:K49"/>
  <sheetViews>
    <sheetView showGridLines="0" tabSelected="1" zoomScaleNormal="100" workbookViewId="0">
      <selection activeCell="K22" sqref="K22"/>
    </sheetView>
  </sheetViews>
  <sheetFormatPr defaultColWidth="8.7109375" defaultRowHeight="15" x14ac:dyDescent="0.25"/>
  <cols>
    <col min="1" max="1" width="4" customWidth="1"/>
    <col min="2" max="2" width="55" customWidth="1"/>
    <col min="3" max="3" width="20" customWidth="1"/>
    <col min="11" max="11" width="20.28515625" customWidth="1"/>
  </cols>
  <sheetData>
    <row r="1" spans="1:11" ht="1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8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7.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48" customHeight="1" x14ac:dyDescent="0.25">
      <c r="A9" s="1"/>
      <c r="B9" s="47" t="s">
        <v>0</v>
      </c>
      <c r="C9" s="47"/>
      <c r="D9" s="47"/>
      <c r="E9" s="1"/>
      <c r="F9" s="1"/>
      <c r="G9" s="1"/>
      <c r="H9" s="1"/>
      <c r="I9" s="1"/>
      <c r="J9" s="1"/>
      <c r="K9" s="1"/>
    </row>
    <row r="10" spans="1:11" ht="7.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7.75" customHeight="1" x14ac:dyDescent="0.25">
      <c r="A11" s="1"/>
      <c r="B11" s="48" t="s">
        <v>1</v>
      </c>
      <c r="C11" s="48"/>
      <c r="D11" s="48"/>
      <c r="E11" s="1"/>
      <c r="F11" s="1"/>
      <c r="G11" s="1"/>
      <c r="H11" s="1"/>
      <c r="I11" s="1"/>
      <c r="J11" s="1"/>
      <c r="K11" s="1"/>
    </row>
    <row r="12" spans="1:11" ht="13.5" customHeight="1" thickBot="1" x14ac:dyDescent="0.3">
      <c r="A12" s="1"/>
      <c r="B12" s="2"/>
      <c r="C12" s="2"/>
      <c r="D12" s="2"/>
      <c r="E12" s="2"/>
      <c r="F12" s="2"/>
      <c r="G12" s="2"/>
      <c r="H12" s="1"/>
      <c r="I12" s="1"/>
      <c r="J12" s="1"/>
      <c r="K12" s="1"/>
    </row>
    <row r="13" spans="1:11" ht="18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8" customHeight="1" x14ac:dyDescent="0.25">
      <c r="A14" s="1"/>
      <c r="B14" s="3" t="s">
        <v>2</v>
      </c>
      <c r="C14" s="4" t="s">
        <v>3</v>
      </c>
      <c r="D14" s="1"/>
      <c r="E14" s="73" t="s">
        <v>342</v>
      </c>
      <c r="F14" s="1"/>
      <c r="G14" s="1"/>
      <c r="H14" s="1"/>
      <c r="I14" s="1"/>
      <c r="J14" s="1"/>
      <c r="K14" s="1"/>
    </row>
    <row r="15" spans="1:11" ht="18" customHeight="1" x14ac:dyDescent="0.25">
      <c r="A15" s="1"/>
      <c r="B15" s="3" t="s">
        <v>4</v>
      </c>
      <c r="C15" s="4" t="s">
        <v>346</v>
      </c>
      <c r="D15" s="1"/>
      <c r="E15" s="72" t="s">
        <v>343</v>
      </c>
      <c r="F15" s="1"/>
      <c r="G15" s="1"/>
      <c r="H15" s="1"/>
      <c r="I15" s="1"/>
      <c r="J15" s="1"/>
      <c r="K15" s="1"/>
    </row>
    <row r="16" spans="1:11" ht="18" customHeight="1" x14ac:dyDescent="0.25">
      <c r="A16" s="1"/>
      <c r="B16" s="3" t="s">
        <v>6</v>
      </c>
      <c r="C16" s="4" t="s">
        <v>7</v>
      </c>
      <c r="D16" s="1"/>
      <c r="E16" s="72" t="s">
        <v>344</v>
      </c>
      <c r="F16" s="1"/>
      <c r="G16" s="1"/>
      <c r="H16" s="1"/>
      <c r="I16" s="1"/>
      <c r="J16" s="1"/>
      <c r="K16" s="1"/>
    </row>
    <row r="17" spans="1:11" ht="18" customHeight="1" x14ac:dyDescent="0.25">
      <c r="A17" s="1"/>
      <c r="B17" s="3" t="s">
        <v>8</v>
      </c>
      <c r="C17" s="4" t="str">
        <f ca="1">TEXT(TODAY(),"MMMM DD, YYYY")</f>
        <v>March 01, 2026</v>
      </c>
      <c r="D17" s="1"/>
      <c r="E17" s="72" t="s">
        <v>345</v>
      </c>
      <c r="F17" s="1"/>
      <c r="G17" s="1"/>
      <c r="H17" s="1"/>
      <c r="I17" s="1"/>
      <c r="J17" s="1"/>
      <c r="K17" s="1"/>
    </row>
    <row r="18" spans="1:11" ht="18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8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8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8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8" customHeight="1" x14ac:dyDescent="0.25">
      <c r="A22" s="1"/>
      <c r="B22" s="49" t="s">
        <v>9</v>
      </c>
      <c r="C22" s="49"/>
      <c r="D22" s="49"/>
      <c r="E22" s="1"/>
      <c r="F22" s="1"/>
      <c r="G22" s="1"/>
      <c r="H22" s="1"/>
      <c r="I22" s="1"/>
      <c r="J22" s="1"/>
      <c r="K22" s="1"/>
    </row>
    <row r="23" spans="1:11" ht="18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8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8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8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8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8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8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8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8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8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8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8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8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8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8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8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8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8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8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8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8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8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8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8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8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</sheetData>
  <mergeCells count="3">
    <mergeCell ref="B9:D9"/>
    <mergeCell ref="B11:D11"/>
    <mergeCell ref="B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4F8A8B"/>
  </sheetPr>
  <dimension ref="A1:M500"/>
  <sheetViews>
    <sheetView zoomScale="80" zoomScaleNormal="80" workbookViewId="0">
      <pane ySplit="2" topLeftCell="A3" activePane="bottomLeft" state="frozen"/>
      <selection pane="bottomLeft" activeCell="F13" sqref="F13"/>
    </sheetView>
  </sheetViews>
  <sheetFormatPr defaultColWidth="8.7109375" defaultRowHeight="15" x14ac:dyDescent="0.25"/>
  <cols>
    <col min="1" max="1" width="14" customWidth="1"/>
    <col min="2" max="2" width="22" customWidth="1"/>
    <col min="3" max="3" width="28" customWidth="1"/>
    <col min="4" max="4" width="20" customWidth="1"/>
    <col min="5" max="5" width="30" customWidth="1"/>
    <col min="6" max="6" width="30.85546875" customWidth="1"/>
    <col min="7" max="7" width="22" customWidth="1"/>
    <col min="8" max="8" width="14" customWidth="1"/>
    <col min="9" max="9" width="28" customWidth="1"/>
    <col min="10" max="10" width="14" customWidth="1"/>
    <col min="11" max="11" width="20" customWidth="1"/>
    <col min="12" max="12" width="32" customWidth="1"/>
    <col min="13" max="13" width="16" customWidth="1"/>
  </cols>
  <sheetData>
    <row r="1" spans="1:13" ht="27.75" customHeight="1" x14ac:dyDescent="0.25">
      <c r="A1" s="50" t="s">
        <v>10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21.75" customHeight="1" x14ac:dyDescent="0.25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</row>
    <row r="3" spans="1:13" ht="18" customHeight="1" x14ac:dyDescent="0.25">
      <c r="A3" s="6">
        <v>46063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8" t="s">
        <v>29</v>
      </c>
      <c r="H3" s="6">
        <v>46068</v>
      </c>
      <c r="I3" s="7" t="s">
        <v>30</v>
      </c>
      <c r="J3" s="6">
        <v>46073</v>
      </c>
      <c r="K3" s="7"/>
      <c r="L3" s="7" t="s">
        <v>31</v>
      </c>
      <c r="M3" s="9">
        <f t="shared" ref="M3:M66" si="0">IF(J3="","",J3-A3)</f>
        <v>10</v>
      </c>
    </row>
    <row r="4" spans="1:13" ht="18" customHeight="1" x14ac:dyDescent="0.25">
      <c r="A4" s="10">
        <v>46065</v>
      </c>
      <c r="B4" s="11" t="s">
        <v>32</v>
      </c>
      <c r="C4" s="11" t="s">
        <v>33</v>
      </c>
      <c r="D4" s="11" t="s">
        <v>34</v>
      </c>
      <c r="E4" s="11" t="s">
        <v>35</v>
      </c>
      <c r="F4" s="11" t="s">
        <v>36</v>
      </c>
      <c r="G4" s="12" t="s">
        <v>37</v>
      </c>
      <c r="H4" s="10">
        <v>46070</v>
      </c>
      <c r="I4" s="11"/>
      <c r="J4" s="10"/>
      <c r="K4" s="11"/>
      <c r="L4" s="11" t="s">
        <v>38</v>
      </c>
      <c r="M4" s="9" t="str">
        <f t="shared" si="0"/>
        <v/>
      </c>
    </row>
    <row r="5" spans="1:13" ht="18" customHeight="1" x14ac:dyDescent="0.25">
      <c r="A5" s="6">
        <v>46067</v>
      </c>
      <c r="B5" s="7" t="s">
        <v>39</v>
      </c>
      <c r="C5" s="7" t="s">
        <v>40</v>
      </c>
      <c r="D5" s="7" t="s">
        <v>41</v>
      </c>
      <c r="E5" s="7" t="s">
        <v>42</v>
      </c>
      <c r="F5" s="7" t="s">
        <v>43</v>
      </c>
      <c r="G5" s="8" t="s">
        <v>44</v>
      </c>
      <c r="H5" s="6">
        <v>46072</v>
      </c>
      <c r="I5" s="7" t="s">
        <v>45</v>
      </c>
      <c r="J5" s="6"/>
      <c r="K5" s="7"/>
      <c r="L5" s="7"/>
      <c r="M5" s="9" t="str">
        <f t="shared" si="0"/>
        <v/>
      </c>
    </row>
    <row r="6" spans="1:13" ht="18" customHeight="1" x14ac:dyDescent="0.25">
      <c r="A6" s="10">
        <v>46070</v>
      </c>
      <c r="B6" s="11" t="s">
        <v>46</v>
      </c>
      <c r="C6" s="11" t="s">
        <v>47</v>
      </c>
      <c r="D6" s="11" t="s">
        <v>48</v>
      </c>
      <c r="E6" s="11" t="s">
        <v>49</v>
      </c>
      <c r="F6" s="11" t="s">
        <v>50</v>
      </c>
      <c r="G6" s="12" t="s">
        <v>51</v>
      </c>
      <c r="H6" s="10">
        <v>46075</v>
      </c>
      <c r="I6" s="11"/>
      <c r="J6" s="10"/>
      <c r="K6" s="11" t="s">
        <v>51</v>
      </c>
      <c r="L6" s="11" t="s">
        <v>52</v>
      </c>
      <c r="M6" s="9" t="str">
        <f t="shared" si="0"/>
        <v/>
      </c>
    </row>
    <row r="7" spans="1:13" ht="18" customHeight="1" x14ac:dyDescent="0.25">
      <c r="A7" s="6">
        <v>46073</v>
      </c>
      <c r="B7" s="7" t="s">
        <v>53</v>
      </c>
      <c r="C7" s="7" t="s">
        <v>54</v>
      </c>
      <c r="D7" s="7" t="s">
        <v>26</v>
      </c>
      <c r="E7" s="7" t="s">
        <v>55</v>
      </c>
      <c r="F7" s="7" t="s">
        <v>56</v>
      </c>
      <c r="G7" s="8" t="s">
        <v>37</v>
      </c>
      <c r="H7" s="6">
        <v>46078</v>
      </c>
      <c r="I7" s="7"/>
      <c r="J7" s="6"/>
      <c r="K7" s="7"/>
      <c r="L7" s="7" t="s">
        <v>57</v>
      </c>
      <c r="M7" s="9" t="str">
        <f t="shared" si="0"/>
        <v/>
      </c>
    </row>
    <row r="8" spans="1:13" ht="15" customHeight="1" x14ac:dyDescent="0.25">
      <c r="M8" s="13" t="str">
        <f t="shared" si="0"/>
        <v/>
      </c>
    </row>
    <row r="9" spans="1:13" ht="15" customHeight="1" x14ac:dyDescent="0.25">
      <c r="M9" s="13" t="str">
        <f t="shared" si="0"/>
        <v/>
      </c>
    </row>
    <row r="10" spans="1:13" ht="15" customHeight="1" x14ac:dyDescent="0.25">
      <c r="M10" s="13" t="str">
        <f t="shared" si="0"/>
        <v/>
      </c>
    </row>
    <row r="11" spans="1:13" ht="15" customHeight="1" x14ac:dyDescent="0.25">
      <c r="M11" s="13" t="str">
        <f t="shared" si="0"/>
        <v/>
      </c>
    </row>
    <row r="12" spans="1:13" ht="15" customHeight="1" x14ac:dyDescent="0.25">
      <c r="M12" s="13" t="str">
        <f t="shared" si="0"/>
        <v/>
      </c>
    </row>
    <row r="13" spans="1:13" ht="15" customHeight="1" x14ac:dyDescent="0.25">
      <c r="M13" s="13" t="str">
        <f t="shared" si="0"/>
        <v/>
      </c>
    </row>
    <row r="14" spans="1:13" ht="15" customHeight="1" x14ac:dyDescent="0.25">
      <c r="M14" s="13" t="str">
        <f t="shared" si="0"/>
        <v/>
      </c>
    </row>
    <row r="15" spans="1:13" ht="15" customHeight="1" x14ac:dyDescent="0.25">
      <c r="M15" s="13" t="str">
        <f t="shared" si="0"/>
        <v/>
      </c>
    </row>
    <row r="16" spans="1:13" ht="15" customHeight="1" x14ac:dyDescent="0.25">
      <c r="M16" s="13" t="str">
        <f t="shared" si="0"/>
        <v/>
      </c>
    </row>
    <row r="17" spans="13:13" ht="15" customHeight="1" x14ac:dyDescent="0.25">
      <c r="M17" s="13" t="str">
        <f t="shared" si="0"/>
        <v/>
      </c>
    </row>
    <row r="18" spans="13:13" ht="15" customHeight="1" x14ac:dyDescent="0.25">
      <c r="M18" s="13" t="str">
        <f t="shared" si="0"/>
        <v/>
      </c>
    </row>
    <row r="19" spans="13:13" ht="15" customHeight="1" x14ac:dyDescent="0.25">
      <c r="M19" s="13" t="str">
        <f t="shared" si="0"/>
        <v/>
      </c>
    </row>
    <row r="20" spans="13:13" ht="15" customHeight="1" x14ac:dyDescent="0.25">
      <c r="M20" s="13" t="str">
        <f t="shared" si="0"/>
        <v/>
      </c>
    </row>
    <row r="21" spans="13:13" ht="15" customHeight="1" x14ac:dyDescent="0.25">
      <c r="M21" s="13" t="str">
        <f t="shared" si="0"/>
        <v/>
      </c>
    </row>
    <row r="22" spans="13:13" ht="15" customHeight="1" x14ac:dyDescent="0.25">
      <c r="M22" s="13" t="str">
        <f t="shared" si="0"/>
        <v/>
      </c>
    </row>
    <row r="23" spans="13:13" ht="15" customHeight="1" x14ac:dyDescent="0.25">
      <c r="M23" s="13" t="str">
        <f t="shared" si="0"/>
        <v/>
      </c>
    </row>
    <row r="24" spans="13:13" ht="15" customHeight="1" x14ac:dyDescent="0.25">
      <c r="M24" s="13" t="str">
        <f t="shared" si="0"/>
        <v/>
      </c>
    </row>
    <row r="25" spans="13:13" ht="15" customHeight="1" x14ac:dyDescent="0.25">
      <c r="M25" s="13" t="str">
        <f t="shared" si="0"/>
        <v/>
      </c>
    </row>
    <row r="26" spans="13:13" ht="15" customHeight="1" x14ac:dyDescent="0.25">
      <c r="M26" s="13" t="str">
        <f t="shared" si="0"/>
        <v/>
      </c>
    </row>
    <row r="27" spans="13:13" ht="15" customHeight="1" x14ac:dyDescent="0.25">
      <c r="M27" s="13" t="str">
        <f t="shared" si="0"/>
        <v/>
      </c>
    </row>
    <row r="28" spans="13:13" ht="15" customHeight="1" x14ac:dyDescent="0.25">
      <c r="M28" s="13" t="str">
        <f t="shared" si="0"/>
        <v/>
      </c>
    </row>
    <row r="29" spans="13:13" ht="15" customHeight="1" x14ac:dyDescent="0.25">
      <c r="M29" s="13" t="str">
        <f t="shared" si="0"/>
        <v/>
      </c>
    </row>
    <row r="30" spans="13:13" ht="15" customHeight="1" x14ac:dyDescent="0.25">
      <c r="M30" s="13" t="str">
        <f t="shared" si="0"/>
        <v/>
      </c>
    </row>
    <row r="31" spans="13:13" ht="15" customHeight="1" x14ac:dyDescent="0.25">
      <c r="M31" s="13" t="str">
        <f t="shared" si="0"/>
        <v/>
      </c>
    </row>
    <row r="32" spans="13:13" ht="15" customHeight="1" x14ac:dyDescent="0.25">
      <c r="M32" s="13" t="str">
        <f t="shared" si="0"/>
        <v/>
      </c>
    </row>
    <row r="33" spans="13:13" ht="15" customHeight="1" x14ac:dyDescent="0.25">
      <c r="M33" s="13" t="str">
        <f t="shared" si="0"/>
        <v/>
      </c>
    </row>
    <row r="34" spans="13:13" ht="15" customHeight="1" x14ac:dyDescent="0.25">
      <c r="M34" s="13" t="str">
        <f t="shared" si="0"/>
        <v/>
      </c>
    </row>
    <row r="35" spans="13:13" ht="15" customHeight="1" x14ac:dyDescent="0.25">
      <c r="M35" s="13" t="str">
        <f t="shared" si="0"/>
        <v/>
      </c>
    </row>
    <row r="36" spans="13:13" ht="15" customHeight="1" x14ac:dyDescent="0.25">
      <c r="M36" s="13" t="str">
        <f t="shared" si="0"/>
        <v/>
      </c>
    </row>
    <row r="37" spans="13:13" ht="15" customHeight="1" x14ac:dyDescent="0.25">
      <c r="M37" s="13" t="str">
        <f t="shared" si="0"/>
        <v/>
      </c>
    </row>
    <row r="38" spans="13:13" ht="15" customHeight="1" x14ac:dyDescent="0.25">
      <c r="M38" s="13" t="str">
        <f t="shared" si="0"/>
        <v/>
      </c>
    </row>
    <row r="39" spans="13:13" ht="15" customHeight="1" x14ac:dyDescent="0.25">
      <c r="M39" s="13" t="str">
        <f t="shared" si="0"/>
        <v/>
      </c>
    </row>
    <row r="40" spans="13:13" ht="15" customHeight="1" x14ac:dyDescent="0.25">
      <c r="M40" s="13" t="str">
        <f t="shared" si="0"/>
        <v/>
      </c>
    </row>
    <row r="41" spans="13:13" ht="15" customHeight="1" x14ac:dyDescent="0.25">
      <c r="M41" s="13" t="str">
        <f t="shared" si="0"/>
        <v/>
      </c>
    </row>
    <row r="42" spans="13:13" ht="15" customHeight="1" x14ac:dyDescent="0.25">
      <c r="M42" s="13" t="str">
        <f t="shared" si="0"/>
        <v/>
      </c>
    </row>
    <row r="43" spans="13:13" ht="15" customHeight="1" x14ac:dyDescent="0.25">
      <c r="M43" s="13" t="str">
        <f t="shared" si="0"/>
        <v/>
      </c>
    </row>
    <row r="44" spans="13:13" ht="15" customHeight="1" x14ac:dyDescent="0.25">
      <c r="M44" s="13" t="str">
        <f t="shared" si="0"/>
        <v/>
      </c>
    </row>
    <row r="45" spans="13:13" ht="15" customHeight="1" x14ac:dyDescent="0.25">
      <c r="M45" s="13" t="str">
        <f t="shared" si="0"/>
        <v/>
      </c>
    </row>
    <row r="46" spans="13:13" ht="15" customHeight="1" x14ac:dyDescent="0.25">
      <c r="M46" s="13" t="str">
        <f t="shared" si="0"/>
        <v/>
      </c>
    </row>
    <row r="47" spans="13:13" ht="15" customHeight="1" x14ac:dyDescent="0.25">
      <c r="M47" s="13" t="str">
        <f t="shared" si="0"/>
        <v/>
      </c>
    </row>
    <row r="48" spans="13:13" ht="15" customHeight="1" x14ac:dyDescent="0.25">
      <c r="M48" s="13" t="str">
        <f t="shared" si="0"/>
        <v/>
      </c>
    </row>
    <row r="49" spans="13:13" ht="15" customHeight="1" x14ac:dyDescent="0.25">
      <c r="M49" s="13" t="str">
        <f t="shared" si="0"/>
        <v/>
      </c>
    </row>
    <row r="50" spans="13:13" ht="15" customHeight="1" x14ac:dyDescent="0.25">
      <c r="M50" s="13" t="str">
        <f t="shared" si="0"/>
        <v/>
      </c>
    </row>
    <row r="51" spans="13:13" ht="15" customHeight="1" x14ac:dyDescent="0.25">
      <c r="M51" s="13" t="str">
        <f t="shared" si="0"/>
        <v/>
      </c>
    </row>
    <row r="52" spans="13:13" ht="15" customHeight="1" x14ac:dyDescent="0.25">
      <c r="M52" s="13" t="str">
        <f t="shared" si="0"/>
        <v/>
      </c>
    </row>
    <row r="53" spans="13:13" ht="15" customHeight="1" x14ac:dyDescent="0.25">
      <c r="M53" s="13" t="str">
        <f t="shared" si="0"/>
        <v/>
      </c>
    </row>
    <row r="54" spans="13:13" ht="15" customHeight="1" x14ac:dyDescent="0.25">
      <c r="M54" s="13" t="str">
        <f t="shared" si="0"/>
        <v/>
      </c>
    </row>
    <row r="55" spans="13:13" ht="15" customHeight="1" x14ac:dyDescent="0.25">
      <c r="M55" s="13" t="str">
        <f t="shared" si="0"/>
        <v/>
      </c>
    </row>
    <row r="56" spans="13:13" ht="15" customHeight="1" x14ac:dyDescent="0.25">
      <c r="M56" s="13" t="str">
        <f t="shared" si="0"/>
        <v/>
      </c>
    </row>
    <row r="57" spans="13:13" ht="15" customHeight="1" x14ac:dyDescent="0.25">
      <c r="M57" s="13" t="str">
        <f t="shared" si="0"/>
        <v/>
      </c>
    </row>
    <row r="58" spans="13:13" ht="15" customHeight="1" x14ac:dyDescent="0.25">
      <c r="M58" s="13" t="str">
        <f t="shared" si="0"/>
        <v/>
      </c>
    </row>
    <row r="59" spans="13:13" ht="15" customHeight="1" x14ac:dyDescent="0.25">
      <c r="M59" s="13" t="str">
        <f t="shared" si="0"/>
        <v/>
      </c>
    </row>
    <row r="60" spans="13:13" ht="15" customHeight="1" x14ac:dyDescent="0.25">
      <c r="M60" s="13" t="str">
        <f t="shared" si="0"/>
        <v/>
      </c>
    </row>
    <row r="61" spans="13:13" ht="15" customHeight="1" x14ac:dyDescent="0.25">
      <c r="M61" s="13" t="str">
        <f t="shared" si="0"/>
        <v/>
      </c>
    </row>
    <row r="62" spans="13:13" ht="15" customHeight="1" x14ac:dyDescent="0.25">
      <c r="M62" s="13" t="str">
        <f t="shared" si="0"/>
        <v/>
      </c>
    </row>
    <row r="63" spans="13:13" ht="15" customHeight="1" x14ac:dyDescent="0.25">
      <c r="M63" s="13" t="str">
        <f t="shared" si="0"/>
        <v/>
      </c>
    </row>
    <row r="64" spans="13:13" ht="15" customHeight="1" x14ac:dyDescent="0.25">
      <c r="M64" s="13" t="str">
        <f t="shared" si="0"/>
        <v/>
      </c>
    </row>
    <row r="65" spans="13:13" ht="15" customHeight="1" x14ac:dyDescent="0.25">
      <c r="M65" s="13" t="str">
        <f t="shared" si="0"/>
        <v/>
      </c>
    </row>
    <row r="66" spans="13:13" ht="15" customHeight="1" x14ac:dyDescent="0.25">
      <c r="M66" s="13" t="str">
        <f t="shared" si="0"/>
        <v/>
      </c>
    </row>
    <row r="67" spans="13:13" ht="15" customHeight="1" x14ac:dyDescent="0.25">
      <c r="M67" s="13" t="str">
        <f t="shared" ref="M67:M130" si="1">IF(J67="","",J67-A67)</f>
        <v/>
      </c>
    </row>
    <row r="68" spans="13:13" ht="15" customHeight="1" x14ac:dyDescent="0.25">
      <c r="M68" s="13" t="str">
        <f t="shared" si="1"/>
        <v/>
      </c>
    </row>
    <row r="69" spans="13:13" ht="15" customHeight="1" x14ac:dyDescent="0.25">
      <c r="M69" s="13" t="str">
        <f t="shared" si="1"/>
        <v/>
      </c>
    </row>
    <row r="70" spans="13:13" ht="15" customHeight="1" x14ac:dyDescent="0.25">
      <c r="M70" s="13" t="str">
        <f t="shared" si="1"/>
        <v/>
      </c>
    </row>
    <row r="71" spans="13:13" ht="15" customHeight="1" x14ac:dyDescent="0.25">
      <c r="M71" s="13" t="str">
        <f t="shared" si="1"/>
        <v/>
      </c>
    </row>
    <row r="72" spans="13:13" ht="15" customHeight="1" x14ac:dyDescent="0.25">
      <c r="M72" s="13" t="str">
        <f t="shared" si="1"/>
        <v/>
      </c>
    </row>
    <row r="73" spans="13:13" ht="15" customHeight="1" x14ac:dyDescent="0.25">
      <c r="M73" s="13" t="str">
        <f t="shared" si="1"/>
        <v/>
      </c>
    </row>
    <row r="74" spans="13:13" ht="15" customHeight="1" x14ac:dyDescent="0.25">
      <c r="M74" s="13" t="str">
        <f t="shared" si="1"/>
        <v/>
      </c>
    </row>
    <row r="75" spans="13:13" ht="15" customHeight="1" x14ac:dyDescent="0.25">
      <c r="M75" s="13" t="str">
        <f t="shared" si="1"/>
        <v/>
      </c>
    </row>
    <row r="76" spans="13:13" ht="15" customHeight="1" x14ac:dyDescent="0.25">
      <c r="M76" s="13" t="str">
        <f t="shared" si="1"/>
        <v/>
      </c>
    </row>
    <row r="77" spans="13:13" ht="15" customHeight="1" x14ac:dyDescent="0.25">
      <c r="M77" s="13" t="str">
        <f t="shared" si="1"/>
        <v/>
      </c>
    </row>
    <row r="78" spans="13:13" ht="15" customHeight="1" x14ac:dyDescent="0.25">
      <c r="M78" s="13" t="str">
        <f t="shared" si="1"/>
        <v/>
      </c>
    </row>
    <row r="79" spans="13:13" ht="15" customHeight="1" x14ac:dyDescent="0.25">
      <c r="M79" s="13" t="str">
        <f t="shared" si="1"/>
        <v/>
      </c>
    </row>
    <row r="80" spans="13:13" ht="15" customHeight="1" x14ac:dyDescent="0.25">
      <c r="M80" s="13" t="str">
        <f t="shared" si="1"/>
        <v/>
      </c>
    </row>
    <row r="81" spans="13:13" ht="15" customHeight="1" x14ac:dyDescent="0.25">
      <c r="M81" s="13" t="str">
        <f t="shared" si="1"/>
        <v/>
      </c>
    </row>
    <row r="82" spans="13:13" ht="15" customHeight="1" x14ac:dyDescent="0.25">
      <c r="M82" s="13" t="str">
        <f t="shared" si="1"/>
        <v/>
      </c>
    </row>
    <row r="83" spans="13:13" ht="15" customHeight="1" x14ac:dyDescent="0.25">
      <c r="M83" s="13" t="str">
        <f t="shared" si="1"/>
        <v/>
      </c>
    </row>
    <row r="84" spans="13:13" ht="15" customHeight="1" x14ac:dyDescent="0.25">
      <c r="M84" s="13" t="str">
        <f t="shared" si="1"/>
        <v/>
      </c>
    </row>
    <row r="85" spans="13:13" ht="15" customHeight="1" x14ac:dyDescent="0.25">
      <c r="M85" s="13" t="str">
        <f t="shared" si="1"/>
        <v/>
      </c>
    </row>
    <row r="86" spans="13:13" ht="15" customHeight="1" x14ac:dyDescent="0.25">
      <c r="M86" s="13" t="str">
        <f t="shared" si="1"/>
        <v/>
      </c>
    </row>
    <row r="87" spans="13:13" ht="15" customHeight="1" x14ac:dyDescent="0.25">
      <c r="M87" s="13" t="str">
        <f t="shared" si="1"/>
        <v/>
      </c>
    </row>
    <row r="88" spans="13:13" ht="15" customHeight="1" x14ac:dyDescent="0.25">
      <c r="M88" s="13" t="str">
        <f t="shared" si="1"/>
        <v/>
      </c>
    </row>
    <row r="89" spans="13:13" ht="15" customHeight="1" x14ac:dyDescent="0.25">
      <c r="M89" s="13" t="str">
        <f t="shared" si="1"/>
        <v/>
      </c>
    </row>
    <row r="90" spans="13:13" ht="15" customHeight="1" x14ac:dyDescent="0.25">
      <c r="M90" s="13" t="str">
        <f t="shared" si="1"/>
        <v/>
      </c>
    </row>
    <row r="91" spans="13:13" ht="15" customHeight="1" x14ac:dyDescent="0.25">
      <c r="M91" s="13" t="str">
        <f t="shared" si="1"/>
        <v/>
      </c>
    </row>
    <row r="92" spans="13:13" ht="15" customHeight="1" x14ac:dyDescent="0.25">
      <c r="M92" s="13" t="str">
        <f t="shared" si="1"/>
        <v/>
      </c>
    </row>
    <row r="93" spans="13:13" ht="15" customHeight="1" x14ac:dyDescent="0.25">
      <c r="M93" s="13" t="str">
        <f t="shared" si="1"/>
        <v/>
      </c>
    </row>
    <row r="94" spans="13:13" ht="15" customHeight="1" x14ac:dyDescent="0.25">
      <c r="M94" s="13" t="str">
        <f t="shared" si="1"/>
        <v/>
      </c>
    </row>
    <row r="95" spans="13:13" ht="15" customHeight="1" x14ac:dyDescent="0.25">
      <c r="M95" s="13" t="str">
        <f t="shared" si="1"/>
        <v/>
      </c>
    </row>
    <row r="96" spans="13:13" ht="15" customHeight="1" x14ac:dyDescent="0.25">
      <c r="M96" s="13" t="str">
        <f t="shared" si="1"/>
        <v/>
      </c>
    </row>
    <row r="97" spans="13:13" ht="15" customHeight="1" x14ac:dyDescent="0.25">
      <c r="M97" s="13" t="str">
        <f t="shared" si="1"/>
        <v/>
      </c>
    </row>
    <row r="98" spans="13:13" ht="15" customHeight="1" x14ac:dyDescent="0.25">
      <c r="M98" s="13" t="str">
        <f t="shared" si="1"/>
        <v/>
      </c>
    </row>
    <row r="99" spans="13:13" ht="15" customHeight="1" x14ac:dyDescent="0.25">
      <c r="M99" s="13" t="str">
        <f t="shared" si="1"/>
        <v/>
      </c>
    </row>
    <row r="100" spans="13:13" ht="15" customHeight="1" x14ac:dyDescent="0.25">
      <c r="M100" s="13" t="str">
        <f t="shared" si="1"/>
        <v/>
      </c>
    </row>
    <row r="101" spans="13:13" ht="15" customHeight="1" x14ac:dyDescent="0.25">
      <c r="M101" s="13" t="str">
        <f t="shared" si="1"/>
        <v/>
      </c>
    </row>
    <row r="102" spans="13:13" ht="15" customHeight="1" x14ac:dyDescent="0.25">
      <c r="M102" s="13" t="str">
        <f t="shared" si="1"/>
        <v/>
      </c>
    </row>
    <row r="103" spans="13:13" ht="15" customHeight="1" x14ac:dyDescent="0.25">
      <c r="M103" s="13" t="str">
        <f t="shared" si="1"/>
        <v/>
      </c>
    </row>
    <row r="104" spans="13:13" ht="15" customHeight="1" x14ac:dyDescent="0.25">
      <c r="M104" s="13" t="str">
        <f t="shared" si="1"/>
        <v/>
      </c>
    </row>
    <row r="105" spans="13:13" ht="15" customHeight="1" x14ac:dyDescent="0.25">
      <c r="M105" s="13" t="str">
        <f t="shared" si="1"/>
        <v/>
      </c>
    </row>
    <row r="106" spans="13:13" ht="15" customHeight="1" x14ac:dyDescent="0.25">
      <c r="M106" s="13" t="str">
        <f t="shared" si="1"/>
        <v/>
      </c>
    </row>
    <row r="107" spans="13:13" ht="15" customHeight="1" x14ac:dyDescent="0.25">
      <c r="M107" s="13" t="str">
        <f t="shared" si="1"/>
        <v/>
      </c>
    </row>
    <row r="108" spans="13:13" ht="15" customHeight="1" x14ac:dyDescent="0.25">
      <c r="M108" s="13" t="str">
        <f t="shared" si="1"/>
        <v/>
      </c>
    </row>
    <row r="109" spans="13:13" ht="15" customHeight="1" x14ac:dyDescent="0.25">
      <c r="M109" s="13" t="str">
        <f t="shared" si="1"/>
        <v/>
      </c>
    </row>
    <row r="110" spans="13:13" ht="15" customHeight="1" x14ac:dyDescent="0.25">
      <c r="M110" s="13" t="str">
        <f t="shared" si="1"/>
        <v/>
      </c>
    </row>
    <row r="111" spans="13:13" ht="15" customHeight="1" x14ac:dyDescent="0.25">
      <c r="M111" s="13" t="str">
        <f t="shared" si="1"/>
        <v/>
      </c>
    </row>
    <row r="112" spans="13:13" ht="15" customHeight="1" x14ac:dyDescent="0.25">
      <c r="M112" s="13" t="str">
        <f t="shared" si="1"/>
        <v/>
      </c>
    </row>
    <row r="113" spans="13:13" ht="15" customHeight="1" x14ac:dyDescent="0.25">
      <c r="M113" s="13" t="str">
        <f t="shared" si="1"/>
        <v/>
      </c>
    </row>
    <row r="114" spans="13:13" ht="15" customHeight="1" x14ac:dyDescent="0.25">
      <c r="M114" s="13" t="str">
        <f t="shared" si="1"/>
        <v/>
      </c>
    </row>
    <row r="115" spans="13:13" ht="15" customHeight="1" x14ac:dyDescent="0.25">
      <c r="M115" s="13" t="str">
        <f t="shared" si="1"/>
        <v/>
      </c>
    </row>
    <row r="116" spans="13:13" ht="15" customHeight="1" x14ac:dyDescent="0.25">
      <c r="M116" s="13" t="str">
        <f t="shared" si="1"/>
        <v/>
      </c>
    </row>
    <row r="117" spans="13:13" ht="15" customHeight="1" x14ac:dyDescent="0.25">
      <c r="M117" s="13" t="str">
        <f t="shared" si="1"/>
        <v/>
      </c>
    </row>
    <row r="118" spans="13:13" ht="15" customHeight="1" x14ac:dyDescent="0.25">
      <c r="M118" s="13" t="str">
        <f t="shared" si="1"/>
        <v/>
      </c>
    </row>
    <row r="119" spans="13:13" ht="15" customHeight="1" x14ac:dyDescent="0.25">
      <c r="M119" s="13" t="str">
        <f t="shared" si="1"/>
        <v/>
      </c>
    </row>
    <row r="120" spans="13:13" ht="15" customHeight="1" x14ac:dyDescent="0.25">
      <c r="M120" s="13" t="str">
        <f t="shared" si="1"/>
        <v/>
      </c>
    </row>
    <row r="121" spans="13:13" ht="15" customHeight="1" x14ac:dyDescent="0.25">
      <c r="M121" s="13" t="str">
        <f t="shared" si="1"/>
        <v/>
      </c>
    </row>
    <row r="122" spans="13:13" ht="15" customHeight="1" x14ac:dyDescent="0.25">
      <c r="M122" s="13" t="str">
        <f t="shared" si="1"/>
        <v/>
      </c>
    </row>
    <row r="123" spans="13:13" ht="15" customHeight="1" x14ac:dyDescent="0.25">
      <c r="M123" s="13" t="str">
        <f t="shared" si="1"/>
        <v/>
      </c>
    </row>
    <row r="124" spans="13:13" ht="15" customHeight="1" x14ac:dyDescent="0.25">
      <c r="M124" s="13" t="str">
        <f t="shared" si="1"/>
        <v/>
      </c>
    </row>
    <row r="125" spans="13:13" ht="15" customHeight="1" x14ac:dyDescent="0.25">
      <c r="M125" s="13" t="str">
        <f t="shared" si="1"/>
        <v/>
      </c>
    </row>
    <row r="126" spans="13:13" ht="15" customHeight="1" x14ac:dyDescent="0.25">
      <c r="M126" s="13" t="str">
        <f t="shared" si="1"/>
        <v/>
      </c>
    </row>
    <row r="127" spans="13:13" ht="15" customHeight="1" x14ac:dyDescent="0.25">
      <c r="M127" s="13" t="str">
        <f t="shared" si="1"/>
        <v/>
      </c>
    </row>
    <row r="128" spans="13:13" ht="15" customHeight="1" x14ac:dyDescent="0.25">
      <c r="M128" s="13" t="str">
        <f t="shared" si="1"/>
        <v/>
      </c>
    </row>
    <row r="129" spans="13:13" ht="15" customHeight="1" x14ac:dyDescent="0.25">
      <c r="M129" s="13" t="str">
        <f t="shared" si="1"/>
        <v/>
      </c>
    </row>
    <row r="130" spans="13:13" ht="15" customHeight="1" x14ac:dyDescent="0.25">
      <c r="M130" s="13" t="str">
        <f t="shared" si="1"/>
        <v/>
      </c>
    </row>
    <row r="131" spans="13:13" ht="15" customHeight="1" x14ac:dyDescent="0.25">
      <c r="M131" s="13" t="str">
        <f t="shared" ref="M131:M194" si="2">IF(J131="","",J131-A131)</f>
        <v/>
      </c>
    </row>
    <row r="132" spans="13:13" ht="15" customHeight="1" x14ac:dyDescent="0.25">
      <c r="M132" s="13" t="str">
        <f t="shared" si="2"/>
        <v/>
      </c>
    </row>
    <row r="133" spans="13:13" ht="15" customHeight="1" x14ac:dyDescent="0.25">
      <c r="M133" s="13" t="str">
        <f t="shared" si="2"/>
        <v/>
      </c>
    </row>
    <row r="134" spans="13:13" ht="15" customHeight="1" x14ac:dyDescent="0.25">
      <c r="M134" s="13" t="str">
        <f t="shared" si="2"/>
        <v/>
      </c>
    </row>
    <row r="135" spans="13:13" ht="15" customHeight="1" x14ac:dyDescent="0.25">
      <c r="M135" s="13" t="str">
        <f t="shared" si="2"/>
        <v/>
      </c>
    </row>
    <row r="136" spans="13:13" ht="15" customHeight="1" x14ac:dyDescent="0.25">
      <c r="M136" s="13" t="str">
        <f t="shared" si="2"/>
        <v/>
      </c>
    </row>
    <row r="137" spans="13:13" ht="15" customHeight="1" x14ac:dyDescent="0.25">
      <c r="M137" s="13" t="str">
        <f t="shared" si="2"/>
        <v/>
      </c>
    </row>
    <row r="138" spans="13:13" ht="15" customHeight="1" x14ac:dyDescent="0.25">
      <c r="M138" s="13" t="str">
        <f t="shared" si="2"/>
        <v/>
      </c>
    </row>
    <row r="139" spans="13:13" ht="15" customHeight="1" x14ac:dyDescent="0.25">
      <c r="M139" s="13" t="str">
        <f t="shared" si="2"/>
        <v/>
      </c>
    </row>
    <row r="140" spans="13:13" ht="15" customHeight="1" x14ac:dyDescent="0.25">
      <c r="M140" s="13" t="str">
        <f t="shared" si="2"/>
        <v/>
      </c>
    </row>
    <row r="141" spans="13:13" ht="15" customHeight="1" x14ac:dyDescent="0.25">
      <c r="M141" s="13" t="str">
        <f t="shared" si="2"/>
        <v/>
      </c>
    </row>
    <row r="142" spans="13:13" ht="15" customHeight="1" x14ac:dyDescent="0.25">
      <c r="M142" s="13" t="str">
        <f t="shared" si="2"/>
        <v/>
      </c>
    </row>
    <row r="143" spans="13:13" ht="15" customHeight="1" x14ac:dyDescent="0.25">
      <c r="M143" s="13" t="str">
        <f t="shared" si="2"/>
        <v/>
      </c>
    </row>
    <row r="144" spans="13:13" ht="15" customHeight="1" x14ac:dyDescent="0.25">
      <c r="M144" s="13" t="str">
        <f t="shared" si="2"/>
        <v/>
      </c>
    </row>
    <row r="145" spans="13:13" ht="15" customHeight="1" x14ac:dyDescent="0.25">
      <c r="M145" s="13" t="str">
        <f t="shared" si="2"/>
        <v/>
      </c>
    </row>
    <row r="146" spans="13:13" ht="15" customHeight="1" x14ac:dyDescent="0.25">
      <c r="M146" s="13" t="str">
        <f t="shared" si="2"/>
        <v/>
      </c>
    </row>
    <row r="147" spans="13:13" ht="15" customHeight="1" x14ac:dyDescent="0.25">
      <c r="M147" s="13" t="str">
        <f t="shared" si="2"/>
        <v/>
      </c>
    </row>
    <row r="148" spans="13:13" ht="15" customHeight="1" x14ac:dyDescent="0.25">
      <c r="M148" s="13" t="str">
        <f t="shared" si="2"/>
        <v/>
      </c>
    </row>
    <row r="149" spans="13:13" ht="15" customHeight="1" x14ac:dyDescent="0.25">
      <c r="M149" s="13" t="str">
        <f t="shared" si="2"/>
        <v/>
      </c>
    </row>
    <row r="150" spans="13:13" ht="15" customHeight="1" x14ac:dyDescent="0.25">
      <c r="M150" s="13" t="str">
        <f t="shared" si="2"/>
        <v/>
      </c>
    </row>
    <row r="151" spans="13:13" ht="15" customHeight="1" x14ac:dyDescent="0.25">
      <c r="M151" s="13" t="str">
        <f t="shared" si="2"/>
        <v/>
      </c>
    </row>
    <row r="152" spans="13:13" ht="15" customHeight="1" x14ac:dyDescent="0.25">
      <c r="M152" s="13" t="str">
        <f t="shared" si="2"/>
        <v/>
      </c>
    </row>
    <row r="153" spans="13:13" ht="15" customHeight="1" x14ac:dyDescent="0.25">
      <c r="M153" s="13" t="str">
        <f t="shared" si="2"/>
        <v/>
      </c>
    </row>
    <row r="154" spans="13:13" ht="15" customHeight="1" x14ac:dyDescent="0.25">
      <c r="M154" s="13" t="str">
        <f t="shared" si="2"/>
        <v/>
      </c>
    </row>
    <row r="155" spans="13:13" ht="15" customHeight="1" x14ac:dyDescent="0.25">
      <c r="M155" s="13" t="str">
        <f t="shared" si="2"/>
        <v/>
      </c>
    </row>
    <row r="156" spans="13:13" ht="15" customHeight="1" x14ac:dyDescent="0.25">
      <c r="M156" s="13" t="str">
        <f t="shared" si="2"/>
        <v/>
      </c>
    </row>
    <row r="157" spans="13:13" ht="15" customHeight="1" x14ac:dyDescent="0.25">
      <c r="M157" s="13" t="str">
        <f t="shared" si="2"/>
        <v/>
      </c>
    </row>
    <row r="158" spans="13:13" ht="15" customHeight="1" x14ac:dyDescent="0.25">
      <c r="M158" s="13" t="str">
        <f t="shared" si="2"/>
        <v/>
      </c>
    </row>
    <row r="159" spans="13:13" ht="15" customHeight="1" x14ac:dyDescent="0.25">
      <c r="M159" s="13" t="str">
        <f t="shared" si="2"/>
        <v/>
      </c>
    </row>
    <row r="160" spans="13:13" ht="15" customHeight="1" x14ac:dyDescent="0.25">
      <c r="M160" s="13" t="str">
        <f t="shared" si="2"/>
        <v/>
      </c>
    </row>
    <row r="161" spans="13:13" ht="15" customHeight="1" x14ac:dyDescent="0.25">
      <c r="M161" s="13" t="str">
        <f t="shared" si="2"/>
        <v/>
      </c>
    </row>
    <row r="162" spans="13:13" ht="15" customHeight="1" x14ac:dyDescent="0.25">
      <c r="M162" s="13" t="str">
        <f t="shared" si="2"/>
        <v/>
      </c>
    </row>
    <row r="163" spans="13:13" ht="15" customHeight="1" x14ac:dyDescent="0.25">
      <c r="M163" s="13" t="str">
        <f t="shared" si="2"/>
        <v/>
      </c>
    </row>
    <row r="164" spans="13:13" ht="15" customHeight="1" x14ac:dyDescent="0.25">
      <c r="M164" s="13" t="str">
        <f t="shared" si="2"/>
        <v/>
      </c>
    </row>
    <row r="165" spans="13:13" ht="15" customHeight="1" x14ac:dyDescent="0.25">
      <c r="M165" s="13" t="str">
        <f t="shared" si="2"/>
        <v/>
      </c>
    </row>
    <row r="166" spans="13:13" ht="15" customHeight="1" x14ac:dyDescent="0.25">
      <c r="M166" s="13" t="str">
        <f t="shared" si="2"/>
        <v/>
      </c>
    </row>
    <row r="167" spans="13:13" ht="15" customHeight="1" x14ac:dyDescent="0.25">
      <c r="M167" s="13" t="str">
        <f t="shared" si="2"/>
        <v/>
      </c>
    </row>
    <row r="168" spans="13:13" ht="15" customHeight="1" x14ac:dyDescent="0.25">
      <c r="M168" s="13" t="str">
        <f t="shared" si="2"/>
        <v/>
      </c>
    </row>
    <row r="169" spans="13:13" ht="15" customHeight="1" x14ac:dyDescent="0.25">
      <c r="M169" s="13" t="str">
        <f t="shared" si="2"/>
        <v/>
      </c>
    </row>
    <row r="170" spans="13:13" ht="15" customHeight="1" x14ac:dyDescent="0.25">
      <c r="M170" s="13" t="str">
        <f t="shared" si="2"/>
        <v/>
      </c>
    </row>
    <row r="171" spans="13:13" ht="15" customHeight="1" x14ac:dyDescent="0.25">
      <c r="M171" s="13" t="str">
        <f t="shared" si="2"/>
        <v/>
      </c>
    </row>
    <row r="172" spans="13:13" ht="15" customHeight="1" x14ac:dyDescent="0.25">
      <c r="M172" s="13" t="str">
        <f t="shared" si="2"/>
        <v/>
      </c>
    </row>
    <row r="173" spans="13:13" ht="15" customHeight="1" x14ac:dyDescent="0.25">
      <c r="M173" s="13" t="str">
        <f t="shared" si="2"/>
        <v/>
      </c>
    </row>
    <row r="174" spans="13:13" ht="15" customHeight="1" x14ac:dyDescent="0.25">
      <c r="M174" s="13" t="str">
        <f t="shared" si="2"/>
        <v/>
      </c>
    </row>
    <row r="175" spans="13:13" ht="15" customHeight="1" x14ac:dyDescent="0.25">
      <c r="M175" s="13" t="str">
        <f t="shared" si="2"/>
        <v/>
      </c>
    </row>
    <row r="176" spans="13:13" ht="15" customHeight="1" x14ac:dyDescent="0.25">
      <c r="M176" s="13" t="str">
        <f t="shared" si="2"/>
        <v/>
      </c>
    </row>
    <row r="177" spans="13:13" ht="15" customHeight="1" x14ac:dyDescent="0.25">
      <c r="M177" s="13" t="str">
        <f t="shared" si="2"/>
        <v/>
      </c>
    </row>
    <row r="178" spans="13:13" ht="15" customHeight="1" x14ac:dyDescent="0.25">
      <c r="M178" s="13" t="str">
        <f t="shared" si="2"/>
        <v/>
      </c>
    </row>
    <row r="179" spans="13:13" ht="15" customHeight="1" x14ac:dyDescent="0.25">
      <c r="M179" s="13" t="str">
        <f t="shared" si="2"/>
        <v/>
      </c>
    </row>
    <row r="180" spans="13:13" ht="15" customHeight="1" x14ac:dyDescent="0.25">
      <c r="M180" s="13" t="str">
        <f t="shared" si="2"/>
        <v/>
      </c>
    </row>
    <row r="181" spans="13:13" ht="15" customHeight="1" x14ac:dyDescent="0.25">
      <c r="M181" s="13" t="str">
        <f t="shared" si="2"/>
        <v/>
      </c>
    </row>
    <row r="182" spans="13:13" ht="15" customHeight="1" x14ac:dyDescent="0.25">
      <c r="M182" s="13" t="str">
        <f t="shared" si="2"/>
        <v/>
      </c>
    </row>
    <row r="183" spans="13:13" ht="15" customHeight="1" x14ac:dyDescent="0.25">
      <c r="M183" s="13" t="str">
        <f t="shared" si="2"/>
        <v/>
      </c>
    </row>
    <row r="184" spans="13:13" ht="15" customHeight="1" x14ac:dyDescent="0.25">
      <c r="M184" s="13" t="str">
        <f t="shared" si="2"/>
        <v/>
      </c>
    </row>
    <row r="185" spans="13:13" ht="15" customHeight="1" x14ac:dyDescent="0.25">
      <c r="M185" s="13" t="str">
        <f t="shared" si="2"/>
        <v/>
      </c>
    </row>
    <row r="186" spans="13:13" ht="15" customHeight="1" x14ac:dyDescent="0.25">
      <c r="M186" s="13" t="str">
        <f t="shared" si="2"/>
        <v/>
      </c>
    </row>
    <row r="187" spans="13:13" ht="15" customHeight="1" x14ac:dyDescent="0.25">
      <c r="M187" s="13" t="str">
        <f t="shared" si="2"/>
        <v/>
      </c>
    </row>
    <row r="188" spans="13:13" ht="15" customHeight="1" x14ac:dyDescent="0.25">
      <c r="M188" s="13" t="str">
        <f t="shared" si="2"/>
        <v/>
      </c>
    </row>
    <row r="189" spans="13:13" ht="15" customHeight="1" x14ac:dyDescent="0.25">
      <c r="M189" s="13" t="str">
        <f t="shared" si="2"/>
        <v/>
      </c>
    </row>
    <row r="190" spans="13:13" ht="15" customHeight="1" x14ac:dyDescent="0.25">
      <c r="M190" s="13" t="str">
        <f t="shared" si="2"/>
        <v/>
      </c>
    </row>
    <row r="191" spans="13:13" ht="15" customHeight="1" x14ac:dyDescent="0.25">
      <c r="M191" s="13" t="str">
        <f t="shared" si="2"/>
        <v/>
      </c>
    </row>
    <row r="192" spans="13:13" ht="15" customHeight="1" x14ac:dyDescent="0.25">
      <c r="M192" s="13" t="str">
        <f t="shared" si="2"/>
        <v/>
      </c>
    </row>
    <row r="193" spans="13:13" ht="15" customHeight="1" x14ac:dyDescent="0.25">
      <c r="M193" s="13" t="str">
        <f t="shared" si="2"/>
        <v/>
      </c>
    </row>
    <row r="194" spans="13:13" ht="15" customHeight="1" x14ac:dyDescent="0.25">
      <c r="M194" s="13" t="str">
        <f t="shared" si="2"/>
        <v/>
      </c>
    </row>
    <row r="195" spans="13:13" ht="15" customHeight="1" x14ac:dyDescent="0.25">
      <c r="M195" s="13" t="str">
        <f t="shared" ref="M195:M258" si="3">IF(J195="","",J195-A195)</f>
        <v/>
      </c>
    </row>
    <row r="196" spans="13:13" ht="15" customHeight="1" x14ac:dyDescent="0.25">
      <c r="M196" s="13" t="str">
        <f t="shared" si="3"/>
        <v/>
      </c>
    </row>
    <row r="197" spans="13:13" ht="15" customHeight="1" x14ac:dyDescent="0.25">
      <c r="M197" s="13" t="str">
        <f t="shared" si="3"/>
        <v/>
      </c>
    </row>
    <row r="198" spans="13:13" ht="15" customHeight="1" x14ac:dyDescent="0.25">
      <c r="M198" s="13" t="str">
        <f t="shared" si="3"/>
        <v/>
      </c>
    </row>
    <row r="199" spans="13:13" ht="15" customHeight="1" x14ac:dyDescent="0.25">
      <c r="M199" s="13" t="str">
        <f t="shared" si="3"/>
        <v/>
      </c>
    </row>
    <row r="200" spans="13:13" ht="15" customHeight="1" x14ac:dyDescent="0.25">
      <c r="M200" s="13" t="str">
        <f t="shared" si="3"/>
        <v/>
      </c>
    </row>
    <row r="201" spans="13:13" ht="15" customHeight="1" x14ac:dyDescent="0.25">
      <c r="M201" s="13" t="str">
        <f t="shared" si="3"/>
        <v/>
      </c>
    </row>
    <row r="202" spans="13:13" ht="15" customHeight="1" x14ac:dyDescent="0.25">
      <c r="M202" s="13" t="str">
        <f t="shared" si="3"/>
        <v/>
      </c>
    </row>
    <row r="203" spans="13:13" ht="15" customHeight="1" x14ac:dyDescent="0.25">
      <c r="M203" s="13" t="str">
        <f t="shared" si="3"/>
        <v/>
      </c>
    </row>
    <row r="204" spans="13:13" ht="15" customHeight="1" x14ac:dyDescent="0.25">
      <c r="M204" s="13" t="str">
        <f t="shared" si="3"/>
        <v/>
      </c>
    </row>
    <row r="205" spans="13:13" ht="15" customHeight="1" x14ac:dyDescent="0.25">
      <c r="M205" s="13" t="str">
        <f t="shared" si="3"/>
        <v/>
      </c>
    </row>
    <row r="206" spans="13:13" ht="15" customHeight="1" x14ac:dyDescent="0.25">
      <c r="M206" s="13" t="str">
        <f t="shared" si="3"/>
        <v/>
      </c>
    </row>
    <row r="207" spans="13:13" ht="15" customHeight="1" x14ac:dyDescent="0.25">
      <c r="M207" s="13" t="str">
        <f t="shared" si="3"/>
        <v/>
      </c>
    </row>
    <row r="208" spans="13:13" ht="15" customHeight="1" x14ac:dyDescent="0.25">
      <c r="M208" s="13" t="str">
        <f t="shared" si="3"/>
        <v/>
      </c>
    </row>
    <row r="209" spans="13:13" ht="15" customHeight="1" x14ac:dyDescent="0.25">
      <c r="M209" s="13" t="str">
        <f t="shared" si="3"/>
        <v/>
      </c>
    </row>
    <row r="210" spans="13:13" ht="15" customHeight="1" x14ac:dyDescent="0.25">
      <c r="M210" s="13" t="str">
        <f t="shared" si="3"/>
        <v/>
      </c>
    </row>
    <row r="211" spans="13:13" ht="15" customHeight="1" x14ac:dyDescent="0.25">
      <c r="M211" s="13" t="str">
        <f t="shared" si="3"/>
        <v/>
      </c>
    </row>
    <row r="212" spans="13:13" ht="15" customHeight="1" x14ac:dyDescent="0.25">
      <c r="M212" s="13" t="str">
        <f t="shared" si="3"/>
        <v/>
      </c>
    </row>
    <row r="213" spans="13:13" ht="15" customHeight="1" x14ac:dyDescent="0.25">
      <c r="M213" s="13" t="str">
        <f t="shared" si="3"/>
        <v/>
      </c>
    </row>
    <row r="214" spans="13:13" ht="15" customHeight="1" x14ac:dyDescent="0.25">
      <c r="M214" s="13" t="str">
        <f t="shared" si="3"/>
        <v/>
      </c>
    </row>
    <row r="215" spans="13:13" ht="15" customHeight="1" x14ac:dyDescent="0.25">
      <c r="M215" s="13" t="str">
        <f t="shared" si="3"/>
        <v/>
      </c>
    </row>
    <row r="216" spans="13:13" ht="15" customHeight="1" x14ac:dyDescent="0.25">
      <c r="M216" s="13" t="str">
        <f t="shared" si="3"/>
        <v/>
      </c>
    </row>
    <row r="217" spans="13:13" ht="15" customHeight="1" x14ac:dyDescent="0.25">
      <c r="M217" s="13" t="str">
        <f t="shared" si="3"/>
        <v/>
      </c>
    </row>
    <row r="218" spans="13:13" ht="15" customHeight="1" x14ac:dyDescent="0.25">
      <c r="M218" s="13" t="str">
        <f t="shared" si="3"/>
        <v/>
      </c>
    </row>
    <row r="219" spans="13:13" ht="15" customHeight="1" x14ac:dyDescent="0.25">
      <c r="M219" s="13" t="str">
        <f t="shared" si="3"/>
        <v/>
      </c>
    </row>
    <row r="220" spans="13:13" ht="15" customHeight="1" x14ac:dyDescent="0.25">
      <c r="M220" s="13" t="str">
        <f t="shared" si="3"/>
        <v/>
      </c>
    </row>
    <row r="221" spans="13:13" ht="15" customHeight="1" x14ac:dyDescent="0.25">
      <c r="M221" s="13" t="str">
        <f t="shared" si="3"/>
        <v/>
      </c>
    </row>
    <row r="222" spans="13:13" ht="15" customHeight="1" x14ac:dyDescent="0.25">
      <c r="M222" s="13" t="str">
        <f t="shared" si="3"/>
        <v/>
      </c>
    </row>
    <row r="223" spans="13:13" ht="15" customHeight="1" x14ac:dyDescent="0.25">
      <c r="M223" s="13" t="str">
        <f t="shared" si="3"/>
        <v/>
      </c>
    </row>
    <row r="224" spans="13:13" ht="15" customHeight="1" x14ac:dyDescent="0.25">
      <c r="M224" s="13" t="str">
        <f t="shared" si="3"/>
        <v/>
      </c>
    </row>
    <row r="225" spans="13:13" ht="15" customHeight="1" x14ac:dyDescent="0.25">
      <c r="M225" s="13" t="str">
        <f t="shared" si="3"/>
        <v/>
      </c>
    </row>
    <row r="226" spans="13:13" ht="15" customHeight="1" x14ac:dyDescent="0.25">
      <c r="M226" s="13" t="str">
        <f t="shared" si="3"/>
        <v/>
      </c>
    </row>
    <row r="227" spans="13:13" ht="15" customHeight="1" x14ac:dyDescent="0.25">
      <c r="M227" s="13" t="str">
        <f t="shared" si="3"/>
        <v/>
      </c>
    </row>
    <row r="228" spans="13:13" ht="15" customHeight="1" x14ac:dyDescent="0.25">
      <c r="M228" s="13" t="str">
        <f t="shared" si="3"/>
        <v/>
      </c>
    </row>
    <row r="229" spans="13:13" ht="15" customHeight="1" x14ac:dyDescent="0.25">
      <c r="M229" s="13" t="str">
        <f t="shared" si="3"/>
        <v/>
      </c>
    </row>
    <row r="230" spans="13:13" ht="15" customHeight="1" x14ac:dyDescent="0.25">
      <c r="M230" s="13" t="str">
        <f t="shared" si="3"/>
        <v/>
      </c>
    </row>
    <row r="231" spans="13:13" ht="15" customHeight="1" x14ac:dyDescent="0.25">
      <c r="M231" s="13" t="str">
        <f t="shared" si="3"/>
        <v/>
      </c>
    </row>
    <row r="232" spans="13:13" ht="15" customHeight="1" x14ac:dyDescent="0.25">
      <c r="M232" s="13" t="str">
        <f t="shared" si="3"/>
        <v/>
      </c>
    </row>
    <row r="233" spans="13:13" ht="15" customHeight="1" x14ac:dyDescent="0.25">
      <c r="M233" s="13" t="str">
        <f t="shared" si="3"/>
        <v/>
      </c>
    </row>
    <row r="234" spans="13:13" ht="15" customHeight="1" x14ac:dyDescent="0.25">
      <c r="M234" s="13" t="str">
        <f t="shared" si="3"/>
        <v/>
      </c>
    </row>
    <row r="235" spans="13:13" ht="15" customHeight="1" x14ac:dyDescent="0.25">
      <c r="M235" s="13" t="str">
        <f t="shared" si="3"/>
        <v/>
      </c>
    </row>
    <row r="236" spans="13:13" ht="15" customHeight="1" x14ac:dyDescent="0.25">
      <c r="M236" s="13" t="str">
        <f t="shared" si="3"/>
        <v/>
      </c>
    </row>
    <row r="237" spans="13:13" ht="15" customHeight="1" x14ac:dyDescent="0.25">
      <c r="M237" s="13" t="str">
        <f t="shared" si="3"/>
        <v/>
      </c>
    </row>
    <row r="238" spans="13:13" ht="15" customHeight="1" x14ac:dyDescent="0.25">
      <c r="M238" s="13" t="str">
        <f t="shared" si="3"/>
        <v/>
      </c>
    </row>
    <row r="239" spans="13:13" ht="15" customHeight="1" x14ac:dyDescent="0.25">
      <c r="M239" s="13" t="str">
        <f t="shared" si="3"/>
        <v/>
      </c>
    </row>
    <row r="240" spans="13:13" ht="15" customHeight="1" x14ac:dyDescent="0.25">
      <c r="M240" s="13" t="str">
        <f t="shared" si="3"/>
        <v/>
      </c>
    </row>
    <row r="241" spans="13:13" ht="15" customHeight="1" x14ac:dyDescent="0.25">
      <c r="M241" s="13" t="str">
        <f t="shared" si="3"/>
        <v/>
      </c>
    </row>
    <row r="242" spans="13:13" ht="15" customHeight="1" x14ac:dyDescent="0.25">
      <c r="M242" s="13" t="str">
        <f t="shared" si="3"/>
        <v/>
      </c>
    </row>
    <row r="243" spans="13:13" ht="15" customHeight="1" x14ac:dyDescent="0.25">
      <c r="M243" s="13" t="str">
        <f t="shared" si="3"/>
        <v/>
      </c>
    </row>
    <row r="244" spans="13:13" ht="15" customHeight="1" x14ac:dyDescent="0.25">
      <c r="M244" s="13" t="str">
        <f t="shared" si="3"/>
        <v/>
      </c>
    </row>
    <row r="245" spans="13:13" ht="15" customHeight="1" x14ac:dyDescent="0.25">
      <c r="M245" s="13" t="str">
        <f t="shared" si="3"/>
        <v/>
      </c>
    </row>
    <row r="246" spans="13:13" ht="15" customHeight="1" x14ac:dyDescent="0.25">
      <c r="M246" s="13" t="str">
        <f t="shared" si="3"/>
        <v/>
      </c>
    </row>
    <row r="247" spans="13:13" ht="15" customHeight="1" x14ac:dyDescent="0.25">
      <c r="M247" s="13" t="str">
        <f t="shared" si="3"/>
        <v/>
      </c>
    </row>
    <row r="248" spans="13:13" ht="15" customHeight="1" x14ac:dyDescent="0.25">
      <c r="M248" s="13" t="str">
        <f t="shared" si="3"/>
        <v/>
      </c>
    </row>
    <row r="249" spans="13:13" ht="15" customHeight="1" x14ac:dyDescent="0.25">
      <c r="M249" s="13" t="str">
        <f t="shared" si="3"/>
        <v/>
      </c>
    </row>
    <row r="250" spans="13:13" ht="15" customHeight="1" x14ac:dyDescent="0.25">
      <c r="M250" s="13" t="str">
        <f t="shared" si="3"/>
        <v/>
      </c>
    </row>
    <row r="251" spans="13:13" ht="15" customHeight="1" x14ac:dyDescent="0.25">
      <c r="M251" s="13" t="str">
        <f t="shared" si="3"/>
        <v/>
      </c>
    </row>
    <row r="252" spans="13:13" ht="15" customHeight="1" x14ac:dyDescent="0.25">
      <c r="M252" s="13" t="str">
        <f t="shared" si="3"/>
        <v/>
      </c>
    </row>
    <row r="253" spans="13:13" ht="15" customHeight="1" x14ac:dyDescent="0.25">
      <c r="M253" s="13" t="str">
        <f t="shared" si="3"/>
        <v/>
      </c>
    </row>
    <row r="254" spans="13:13" ht="15" customHeight="1" x14ac:dyDescent="0.25">
      <c r="M254" s="13" t="str">
        <f t="shared" si="3"/>
        <v/>
      </c>
    </row>
    <row r="255" spans="13:13" ht="15" customHeight="1" x14ac:dyDescent="0.25">
      <c r="M255" s="13" t="str">
        <f t="shared" si="3"/>
        <v/>
      </c>
    </row>
    <row r="256" spans="13:13" ht="15" customHeight="1" x14ac:dyDescent="0.25">
      <c r="M256" s="13" t="str">
        <f t="shared" si="3"/>
        <v/>
      </c>
    </row>
    <row r="257" spans="13:13" ht="15" customHeight="1" x14ac:dyDescent="0.25">
      <c r="M257" s="13" t="str">
        <f t="shared" si="3"/>
        <v/>
      </c>
    </row>
    <row r="258" spans="13:13" ht="15" customHeight="1" x14ac:dyDescent="0.25">
      <c r="M258" s="13" t="str">
        <f t="shared" si="3"/>
        <v/>
      </c>
    </row>
    <row r="259" spans="13:13" ht="15" customHeight="1" x14ac:dyDescent="0.25">
      <c r="M259" s="13" t="str">
        <f t="shared" ref="M259:M322" si="4">IF(J259="","",J259-A259)</f>
        <v/>
      </c>
    </row>
    <row r="260" spans="13:13" ht="15" customHeight="1" x14ac:dyDescent="0.25">
      <c r="M260" s="13" t="str">
        <f t="shared" si="4"/>
        <v/>
      </c>
    </row>
    <row r="261" spans="13:13" ht="15" customHeight="1" x14ac:dyDescent="0.25">
      <c r="M261" s="13" t="str">
        <f t="shared" si="4"/>
        <v/>
      </c>
    </row>
    <row r="262" spans="13:13" ht="15" customHeight="1" x14ac:dyDescent="0.25">
      <c r="M262" s="13" t="str">
        <f t="shared" si="4"/>
        <v/>
      </c>
    </row>
    <row r="263" spans="13:13" ht="15" customHeight="1" x14ac:dyDescent="0.25">
      <c r="M263" s="13" t="str">
        <f t="shared" si="4"/>
        <v/>
      </c>
    </row>
    <row r="264" spans="13:13" ht="15" customHeight="1" x14ac:dyDescent="0.25">
      <c r="M264" s="13" t="str">
        <f t="shared" si="4"/>
        <v/>
      </c>
    </row>
    <row r="265" spans="13:13" ht="15" customHeight="1" x14ac:dyDescent="0.25">
      <c r="M265" s="13" t="str">
        <f t="shared" si="4"/>
        <v/>
      </c>
    </row>
    <row r="266" spans="13:13" ht="15" customHeight="1" x14ac:dyDescent="0.25">
      <c r="M266" s="13" t="str">
        <f t="shared" si="4"/>
        <v/>
      </c>
    </row>
    <row r="267" spans="13:13" ht="15" customHeight="1" x14ac:dyDescent="0.25">
      <c r="M267" s="13" t="str">
        <f t="shared" si="4"/>
        <v/>
      </c>
    </row>
    <row r="268" spans="13:13" ht="15" customHeight="1" x14ac:dyDescent="0.25">
      <c r="M268" s="13" t="str">
        <f t="shared" si="4"/>
        <v/>
      </c>
    </row>
    <row r="269" spans="13:13" ht="15" customHeight="1" x14ac:dyDescent="0.25">
      <c r="M269" s="13" t="str">
        <f t="shared" si="4"/>
        <v/>
      </c>
    </row>
    <row r="270" spans="13:13" ht="15" customHeight="1" x14ac:dyDescent="0.25">
      <c r="M270" s="13" t="str">
        <f t="shared" si="4"/>
        <v/>
      </c>
    </row>
    <row r="271" spans="13:13" ht="15" customHeight="1" x14ac:dyDescent="0.25">
      <c r="M271" s="13" t="str">
        <f t="shared" si="4"/>
        <v/>
      </c>
    </row>
    <row r="272" spans="13:13" ht="15" customHeight="1" x14ac:dyDescent="0.25">
      <c r="M272" s="13" t="str">
        <f t="shared" si="4"/>
        <v/>
      </c>
    </row>
    <row r="273" spans="13:13" ht="15" customHeight="1" x14ac:dyDescent="0.25">
      <c r="M273" s="13" t="str">
        <f t="shared" si="4"/>
        <v/>
      </c>
    </row>
    <row r="274" spans="13:13" ht="15" customHeight="1" x14ac:dyDescent="0.25">
      <c r="M274" s="13" t="str">
        <f t="shared" si="4"/>
        <v/>
      </c>
    </row>
    <row r="275" spans="13:13" ht="15" customHeight="1" x14ac:dyDescent="0.25">
      <c r="M275" s="13" t="str">
        <f t="shared" si="4"/>
        <v/>
      </c>
    </row>
    <row r="276" spans="13:13" ht="15" customHeight="1" x14ac:dyDescent="0.25">
      <c r="M276" s="13" t="str">
        <f t="shared" si="4"/>
        <v/>
      </c>
    </row>
    <row r="277" spans="13:13" ht="15" customHeight="1" x14ac:dyDescent="0.25">
      <c r="M277" s="13" t="str">
        <f t="shared" si="4"/>
        <v/>
      </c>
    </row>
    <row r="278" spans="13:13" ht="15" customHeight="1" x14ac:dyDescent="0.25">
      <c r="M278" s="13" t="str">
        <f t="shared" si="4"/>
        <v/>
      </c>
    </row>
    <row r="279" spans="13:13" ht="15" customHeight="1" x14ac:dyDescent="0.25">
      <c r="M279" s="13" t="str">
        <f t="shared" si="4"/>
        <v/>
      </c>
    </row>
    <row r="280" spans="13:13" ht="15" customHeight="1" x14ac:dyDescent="0.25">
      <c r="M280" s="13" t="str">
        <f t="shared" si="4"/>
        <v/>
      </c>
    </row>
    <row r="281" spans="13:13" ht="15" customHeight="1" x14ac:dyDescent="0.25">
      <c r="M281" s="13" t="str">
        <f t="shared" si="4"/>
        <v/>
      </c>
    </row>
    <row r="282" spans="13:13" ht="15" customHeight="1" x14ac:dyDescent="0.25">
      <c r="M282" s="13" t="str">
        <f t="shared" si="4"/>
        <v/>
      </c>
    </row>
    <row r="283" spans="13:13" ht="15" customHeight="1" x14ac:dyDescent="0.25">
      <c r="M283" s="13" t="str">
        <f t="shared" si="4"/>
        <v/>
      </c>
    </row>
    <row r="284" spans="13:13" ht="15" customHeight="1" x14ac:dyDescent="0.25">
      <c r="M284" s="13" t="str">
        <f t="shared" si="4"/>
        <v/>
      </c>
    </row>
    <row r="285" spans="13:13" ht="15" customHeight="1" x14ac:dyDescent="0.25">
      <c r="M285" s="13" t="str">
        <f t="shared" si="4"/>
        <v/>
      </c>
    </row>
    <row r="286" spans="13:13" ht="15" customHeight="1" x14ac:dyDescent="0.25">
      <c r="M286" s="13" t="str">
        <f t="shared" si="4"/>
        <v/>
      </c>
    </row>
    <row r="287" spans="13:13" ht="15" customHeight="1" x14ac:dyDescent="0.25">
      <c r="M287" s="13" t="str">
        <f t="shared" si="4"/>
        <v/>
      </c>
    </row>
    <row r="288" spans="13:13" ht="15" customHeight="1" x14ac:dyDescent="0.25">
      <c r="M288" s="13" t="str">
        <f t="shared" si="4"/>
        <v/>
      </c>
    </row>
    <row r="289" spans="13:13" ht="15" customHeight="1" x14ac:dyDescent="0.25">
      <c r="M289" s="13" t="str">
        <f t="shared" si="4"/>
        <v/>
      </c>
    </row>
    <row r="290" spans="13:13" ht="15" customHeight="1" x14ac:dyDescent="0.25">
      <c r="M290" s="13" t="str">
        <f t="shared" si="4"/>
        <v/>
      </c>
    </row>
    <row r="291" spans="13:13" ht="15" customHeight="1" x14ac:dyDescent="0.25">
      <c r="M291" s="13" t="str">
        <f t="shared" si="4"/>
        <v/>
      </c>
    </row>
    <row r="292" spans="13:13" ht="15" customHeight="1" x14ac:dyDescent="0.25">
      <c r="M292" s="13" t="str">
        <f t="shared" si="4"/>
        <v/>
      </c>
    </row>
    <row r="293" spans="13:13" ht="15" customHeight="1" x14ac:dyDescent="0.25">
      <c r="M293" s="13" t="str">
        <f t="shared" si="4"/>
        <v/>
      </c>
    </row>
    <row r="294" spans="13:13" ht="15" customHeight="1" x14ac:dyDescent="0.25">
      <c r="M294" s="13" t="str">
        <f t="shared" si="4"/>
        <v/>
      </c>
    </row>
    <row r="295" spans="13:13" ht="15" customHeight="1" x14ac:dyDescent="0.25">
      <c r="M295" s="13" t="str">
        <f t="shared" si="4"/>
        <v/>
      </c>
    </row>
    <row r="296" spans="13:13" ht="15" customHeight="1" x14ac:dyDescent="0.25">
      <c r="M296" s="13" t="str">
        <f t="shared" si="4"/>
        <v/>
      </c>
    </row>
    <row r="297" spans="13:13" ht="15" customHeight="1" x14ac:dyDescent="0.25">
      <c r="M297" s="13" t="str">
        <f t="shared" si="4"/>
        <v/>
      </c>
    </row>
    <row r="298" spans="13:13" ht="15" customHeight="1" x14ac:dyDescent="0.25">
      <c r="M298" s="13" t="str">
        <f t="shared" si="4"/>
        <v/>
      </c>
    </row>
    <row r="299" spans="13:13" ht="15" customHeight="1" x14ac:dyDescent="0.25">
      <c r="M299" s="13" t="str">
        <f t="shared" si="4"/>
        <v/>
      </c>
    </row>
    <row r="300" spans="13:13" ht="15" customHeight="1" x14ac:dyDescent="0.25">
      <c r="M300" s="13" t="str">
        <f t="shared" si="4"/>
        <v/>
      </c>
    </row>
    <row r="301" spans="13:13" ht="15" customHeight="1" x14ac:dyDescent="0.25">
      <c r="M301" s="13" t="str">
        <f t="shared" si="4"/>
        <v/>
      </c>
    </row>
    <row r="302" spans="13:13" ht="15" customHeight="1" x14ac:dyDescent="0.25">
      <c r="M302" s="13" t="str">
        <f t="shared" si="4"/>
        <v/>
      </c>
    </row>
    <row r="303" spans="13:13" ht="15" customHeight="1" x14ac:dyDescent="0.25">
      <c r="M303" s="13" t="str">
        <f t="shared" si="4"/>
        <v/>
      </c>
    </row>
    <row r="304" spans="13:13" ht="15" customHeight="1" x14ac:dyDescent="0.25">
      <c r="M304" s="13" t="str">
        <f t="shared" si="4"/>
        <v/>
      </c>
    </row>
    <row r="305" spans="13:13" ht="15" customHeight="1" x14ac:dyDescent="0.25">
      <c r="M305" s="13" t="str">
        <f t="shared" si="4"/>
        <v/>
      </c>
    </row>
    <row r="306" spans="13:13" ht="15" customHeight="1" x14ac:dyDescent="0.25">
      <c r="M306" s="13" t="str">
        <f t="shared" si="4"/>
        <v/>
      </c>
    </row>
    <row r="307" spans="13:13" ht="15" customHeight="1" x14ac:dyDescent="0.25">
      <c r="M307" s="13" t="str">
        <f t="shared" si="4"/>
        <v/>
      </c>
    </row>
    <row r="308" spans="13:13" ht="15" customHeight="1" x14ac:dyDescent="0.25">
      <c r="M308" s="13" t="str">
        <f t="shared" si="4"/>
        <v/>
      </c>
    </row>
    <row r="309" spans="13:13" ht="15" customHeight="1" x14ac:dyDescent="0.25">
      <c r="M309" s="13" t="str">
        <f t="shared" si="4"/>
        <v/>
      </c>
    </row>
    <row r="310" spans="13:13" ht="15" customHeight="1" x14ac:dyDescent="0.25">
      <c r="M310" s="13" t="str">
        <f t="shared" si="4"/>
        <v/>
      </c>
    </row>
    <row r="311" spans="13:13" ht="15" customHeight="1" x14ac:dyDescent="0.25">
      <c r="M311" s="13" t="str">
        <f t="shared" si="4"/>
        <v/>
      </c>
    </row>
    <row r="312" spans="13:13" ht="15" customHeight="1" x14ac:dyDescent="0.25">
      <c r="M312" s="13" t="str">
        <f t="shared" si="4"/>
        <v/>
      </c>
    </row>
    <row r="313" spans="13:13" ht="15" customHeight="1" x14ac:dyDescent="0.25">
      <c r="M313" s="13" t="str">
        <f t="shared" si="4"/>
        <v/>
      </c>
    </row>
    <row r="314" spans="13:13" ht="15" customHeight="1" x14ac:dyDescent="0.25">
      <c r="M314" s="13" t="str">
        <f t="shared" si="4"/>
        <v/>
      </c>
    </row>
    <row r="315" spans="13:13" ht="15" customHeight="1" x14ac:dyDescent="0.25">
      <c r="M315" s="13" t="str">
        <f t="shared" si="4"/>
        <v/>
      </c>
    </row>
    <row r="316" spans="13:13" ht="15" customHeight="1" x14ac:dyDescent="0.25">
      <c r="M316" s="13" t="str">
        <f t="shared" si="4"/>
        <v/>
      </c>
    </row>
    <row r="317" spans="13:13" ht="15" customHeight="1" x14ac:dyDescent="0.25">
      <c r="M317" s="13" t="str">
        <f t="shared" si="4"/>
        <v/>
      </c>
    </row>
    <row r="318" spans="13:13" ht="15" customHeight="1" x14ac:dyDescent="0.25">
      <c r="M318" s="13" t="str">
        <f t="shared" si="4"/>
        <v/>
      </c>
    </row>
    <row r="319" spans="13:13" ht="15" customHeight="1" x14ac:dyDescent="0.25">
      <c r="M319" s="13" t="str">
        <f t="shared" si="4"/>
        <v/>
      </c>
    </row>
    <row r="320" spans="13:13" ht="15" customHeight="1" x14ac:dyDescent="0.25">
      <c r="M320" s="13" t="str">
        <f t="shared" si="4"/>
        <v/>
      </c>
    </row>
    <row r="321" spans="13:13" ht="15" customHeight="1" x14ac:dyDescent="0.25">
      <c r="M321" s="13" t="str">
        <f t="shared" si="4"/>
        <v/>
      </c>
    </row>
    <row r="322" spans="13:13" ht="15" customHeight="1" x14ac:dyDescent="0.25">
      <c r="M322" s="13" t="str">
        <f t="shared" si="4"/>
        <v/>
      </c>
    </row>
    <row r="323" spans="13:13" ht="15" customHeight="1" x14ac:dyDescent="0.25">
      <c r="M323" s="13" t="str">
        <f t="shared" ref="M323:M386" si="5">IF(J323="","",J323-A323)</f>
        <v/>
      </c>
    </row>
    <row r="324" spans="13:13" ht="15" customHeight="1" x14ac:dyDescent="0.25">
      <c r="M324" s="13" t="str">
        <f t="shared" si="5"/>
        <v/>
      </c>
    </row>
    <row r="325" spans="13:13" ht="15" customHeight="1" x14ac:dyDescent="0.25">
      <c r="M325" s="13" t="str">
        <f t="shared" si="5"/>
        <v/>
      </c>
    </row>
    <row r="326" spans="13:13" ht="15" customHeight="1" x14ac:dyDescent="0.25">
      <c r="M326" s="13" t="str">
        <f t="shared" si="5"/>
        <v/>
      </c>
    </row>
    <row r="327" spans="13:13" ht="15" customHeight="1" x14ac:dyDescent="0.25">
      <c r="M327" s="13" t="str">
        <f t="shared" si="5"/>
        <v/>
      </c>
    </row>
    <row r="328" spans="13:13" ht="15" customHeight="1" x14ac:dyDescent="0.25">
      <c r="M328" s="13" t="str">
        <f t="shared" si="5"/>
        <v/>
      </c>
    </row>
    <row r="329" spans="13:13" ht="15" customHeight="1" x14ac:dyDescent="0.25">
      <c r="M329" s="13" t="str">
        <f t="shared" si="5"/>
        <v/>
      </c>
    </row>
    <row r="330" spans="13:13" ht="15" customHeight="1" x14ac:dyDescent="0.25">
      <c r="M330" s="13" t="str">
        <f t="shared" si="5"/>
        <v/>
      </c>
    </row>
    <row r="331" spans="13:13" ht="15" customHeight="1" x14ac:dyDescent="0.25">
      <c r="M331" s="13" t="str">
        <f t="shared" si="5"/>
        <v/>
      </c>
    </row>
    <row r="332" spans="13:13" ht="15" customHeight="1" x14ac:dyDescent="0.25">
      <c r="M332" s="13" t="str">
        <f t="shared" si="5"/>
        <v/>
      </c>
    </row>
    <row r="333" spans="13:13" ht="15" customHeight="1" x14ac:dyDescent="0.25">
      <c r="M333" s="13" t="str">
        <f t="shared" si="5"/>
        <v/>
      </c>
    </row>
    <row r="334" spans="13:13" ht="15" customHeight="1" x14ac:dyDescent="0.25">
      <c r="M334" s="13" t="str">
        <f t="shared" si="5"/>
        <v/>
      </c>
    </row>
    <row r="335" spans="13:13" ht="15" customHeight="1" x14ac:dyDescent="0.25">
      <c r="M335" s="13" t="str">
        <f t="shared" si="5"/>
        <v/>
      </c>
    </row>
    <row r="336" spans="13:13" ht="15" customHeight="1" x14ac:dyDescent="0.25">
      <c r="M336" s="13" t="str">
        <f t="shared" si="5"/>
        <v/>
      </c>
    </row>
    <row r="337" spans="13:13" ht="15" customHeight="1" x14ac:dyDescent="0.25">
      <c r="M337" s="13" t="str">
        <f t="shared" si="5"/>
        <v/>
      </c>
    </row>
    <row r="338" spans="13:13" ht="15" customHeight="1" x14ac:dyDescent="0.25">
      <c r="M338" s="13" t="str">
        <f t="shared" si="5"/>
        <v/>
      </c>
    </row>
    <row r="339" spans="13:13" ht="15" customHeight="1" x14ac:dyDescent="0.25">
      <c r="M339" s="13" t="str">
        <f t="shared" si="5"/>
        <v/>
      </c>
    </row>
    <row r="340" spans="13:13" ht="15" customHeight="1" x14ac:dyDescent="0.25">
      <c r="M340" s="13" t="str">
        <f t="shared" si="5"/>
        <v/>
      </c>
    </row>
    <row r="341" spans="13:13" ht="15" customHeight="1" x14ac:dyDescent="0.25">
      <c r="M341" s="13" t="str">
        <f t="shared" si="5"/>
        <v/>
      </c>
    </row>
    <row r="342" spans="13:13" ht="15" customHeight="1" x14ac:dyDescent="0.25">
      <c r="M342" s="13" t="str">
        <f t="shared" si="5"/>
        <v/>
      </c>
    </row>
    <row r="343" spans="13:13" ht="15" customHeight="1" x14ac:dyDescent="0.25">
      <c r="M343" s="13" t="str">
        <f t="shared" si="5"/>
        <v/>
      </c>
    </row>
    <row r="344" spans="13:13" ht="15" customHeight="1" x14ac:dyDescent="0.25">
      <c r="M344" s="13" t="str">
        <f t="shared" si="5"/>
        <v/>
      </c>
    </row>
    <row r="345" spans="13:13" ht="15" customHeight="1" x14ac:dyDescent="0.25">
      <c r="M345" s="13" t="str">
        <f t="shared" si="5"/>
        <v/>
      </c>
    </row>
    <row r="346" spans="13:13" ht="15" customHeight="1" x14ac:dyDescent="0.25">
      <c r="M346" s="13" t="str">
        <f t="shared" si="5"/>
        <v/>
      </c>
    </row>
    <row r="347" spans="13:13" ht="15" customHeight="1" x14ac:dyDescent="0.25">
      <c r="M347" s="13" t="str">
        <f t="shared" si="5"/>
        <v/>
      </c>
    </row>
    <row r="348" spans="13:13" ht="15" customHeight="1" x14ac:dyDescent="0.25">
      <c r="M348" s="13" t="str">
        <f t="shared" si="5"/>
        <v/>
      </c>
    </row>
    <row r="349" spans="13:13" ht="15" customHeight="1" x14ac:dyDescent="0.25">
      <c r="M349" s="13" t="str">
        <f t="shared" si="5"/>
        <v/>
      </c>
    </row>
    <row r="350" spans="13:13" ht="15" customHeight="1" x14ac:dyDescent="0.25">
      <c r="M350" s="13" t="str">
        <f t="shared" si="5"/>
        <v/>
      </c>
    </row>
    <row r="351" spans="13:13" ht="15" customHeight="1" x14ac:dyDescent="0.25">
      <c r="M351" s="13" t="str">
        <f t="shared" si="5"/>
        <v/>
      </c>
    </row>
    <row r="352" spans="13:13" ht="15" customHeight="1" x14ac:dyDescent="0.25">
      <c r="M352" s="13" t="str">
        <f t="shared" si="5"/>
        <v/>
      </c>
    </row>
    <row r="353" spans="13:13" ht="15" customHeight="1" x14ac:dyDescent="0.25">
      <c r="M353" s="13" t="str">
        <f t="shared" si="5"/>
        <v/>
      </c>
    </row>
    <row r="354" spans="13:13" ht="15" customHeight="1" x14ac:dyDescent="0.25">
      <c r="M354" s="13" t="str">
        <f t="shared" si="5"/>
        <v/>
      </c>
    </row>
    <row r="355" spans="13:13" ht="15" customHeight="1" x14ac:dyDescent="0.25">
      <c r="M355" s="13" t="str">
        <f t="shared" si="5"/>
        <v/>
      </c>
    </row>
    <row r="356" spans="13:13" ht="15" customHeight="1" x14ac:dyDescent="0.25">
      <c r="M356" s="13" t="str">
        <f t="shared" si="5"/>
        <v/>
      </c>
    </row>
    <row r="357" spans="13:13" ht="15" customHeight="1" x14ac:dyDescent="0.25">
      <c r="M357" s="13" t="str">
        <f t="shared" si="5"/>
        <v/>
      </c>
    </row>
    <row r="358" spans="13:13" ht="15" customHeight="1" x14ac:dyDescent="0.25">
      <c r="M358" s="13" t="str">
        <f t="shared" si="5"/>
        <v/>
      </c>
    </row>
    <row r="359" spans="13:13" ht="15" customHeight="1" x14ac:dyDescent="0.25">
      <c r="M359" s="13" t="str">
        <f t="shared" si="5"/>
        <v/>
      </c>
    </row>
    <row r="360" spans="13:13" ht="15" customHeight="1" x14ac:dyDescent="0.25">
      <c r="M360" s="13" t="str">
        <f t="shared" si="5"/>
        <v/>
      </c>
    </row>
    <row r="361" spans="13:13" ht="15" customHeight="1" x14ac:dyDescent="0.25">
      <c r="M361" s="13" t="str">
        <f t="shared" si="5"/>
        <v/>
      </c>
    </row>
    <row r="362" spans="13:13" ht="15" customHeight="1" x14ac:dyDescent="0.25">
      <c r="M362" s="13" t="str">
        <f t="shared" si="5"/>
        <v/>
      </c>
    </row>
    <row r="363" spans="13:13" ht="15" customHeight="1" x14ac:dyDescent="0.25">
      <c r="M363" s="13" t="str">
        <f t="shared" si="5"/>
        <v/>
      </c>
    </row>
    <row r="364" spans="13:13" ht="15" customHeight="1" x14ac:dyDescent="0.25">
      <c r="M364" s="13" t="str">
        <f t="shared" si="5"/>
        <v/>
      </c>
    </row>
    <row r="365" spans="13:13" ht="15" customHeight="1" x14ac:dyDescent="0.25">
      <c r="M365" s="13" t="str">
        <f t="shared" si="5"/>
        <v/>
      </c>
    </row>
    <row r="366" spans="13:13" ht="15" customHeight="1" x14ac:dyDescent="0.25">
      <c r="M366" s="13" t="str">
        <f t="shared" si="5"/>
        <v/>
      </c>
    </row>
    <row r="367" spans="13:13" ht="15" customHeight="1" x14ac:dyDescent="0.25">
      <c r="M367" s="13" t="str">
        <f t="shared" si="5"/>
        <v/>
      </c>
    </row>
    <row r="368" spans="13:13" ht="15" customHeight="1" x14ac:dyDescent="0.25">
      <c r="M368" s="13" t="str">
        <f t="shared" si="5"/>
        <v/>
      </c>
    </row>
    <row r="369" spans="13:13" ht="15" customHeight="1" x14ac:dyDescent="0.25">
      <c r="M369" s="13" t="str">
        <f t="shared" si="5"/>
        <v/>
      </c>
    </row>
    <row r="370" spans="13:13" ht="15" customHeight="1" x14ac:dyDescent="0.25">
      <c r="M370" s="13" t="str">
        <f t="shared" si="5"/>
        <v/>
      </c>
    </row>
    <row r="371" spans="13:13" ht="15" customHeight="1" x14ac:dyDescent="0.25">
      <c r="M371" s="13" t="str">
        <f t="shared" si="5"/>
        <v/>
      </c>
    </row>
    <row r="372" spans="13:13" ht="15" customHeight="1" x14ac:dyDescent="0.25">
      <c r="M372" s="13" t="str">
        <f t="shared" si="5"/>
        <v/>
      </c>
    </row>
    <row r="373" spans="13:13" ht="15" customHeight="1" x14ac:dyDescent="0.25">
      <c r="M373" s="13" t="str">
        <f t="shared" si="5"/>
        <v/>
      </c>
    </row>
    <row r="374" spans="13:13" ht="15" customHeight="1" x14ac:dyDescent="0.25">
      <c r="M374" s="13" t="str">
        <f t="shared" si="5"/>
        <v/>
      </c>
    </row>
    <row r="375" spans="13:13" ht="15" customHeight="1" x14ac:dyDescent="0.25">
      <c r="M375" s="13" t="str">
        <f t="shared" si="5"/>
        <v/>
      </c>
    </row>
    <row r="376" spans="13:13" ht="15" customHeight="1" x14ac:dyDescent="0.25">
      <c r="M376" s="13" t="str">
        <f t="shared" si="5"/>
        <v/>
      </c>
    </row>
    <row r="377" spans="13:13" ht="15" customHeight="1" x14ac:dyDescent="0.25">
      <c r="M377" s="13" t="str">
        <f t="shared" si="5"/>
        <v/>
      </c>
    </row>
    <row r="378" spans="13:13" ht="15" customHeight="1" x14ac:dyDescent="0.25">
      <c r="M378" s="13" t="str">
        <f t="shared" si="5"/>
        <v/>
      </c>
    </row>
    <row r="379" spans="13:13" ht="15" customHeight="1" x14ac:dyDescent="0.25">
      <c r="M379" s="13" t="str">
        <f t="shared" si="5"/>
        <v/>
      </c>
    </row>
    <row r="380" spans="13:13" ht="15" customHeight="1" x14ac:dyDescent="0.25">
      <c r="M380" s="13" t="str">
        <f t="shared" si="5"/>
        <v/>
      </c>
    </row>
    <row r="381" spans="13:13" ht="15" customHeight="1" x14ac:dyDescent="0.25">
      <c r="M381" s="13" t="str">
        <f t="shared" si="5"/>
        <v/>
      </c>
    </row>
    <row r="382" spans="13:13" ht="15" customHeight="1" x14ac:dyDescent="0.25">
      <c r="M382" s="13" t="str">
        <f t="shared" si="5"/>
        <v/>
      </c>
    </row>
    <row r="383" spans="13:13" ht="15" customHeight="1" x14ac:dyDescent="0.25">
      <c r="M383" s="13" t="str">
        <f t="shared" si="5"/>
        <v/>
      </c>
    </row>
    <row r="384" spans="13:13" ht="15" customHeight="1" x14ac:dyDescent="0.25">
      <c r="M384" s="13" t="str">
        <f t="shared" si="5"/>
        <v/>
      </c>
    </row>
    <row r="385" spans="13:13" ht="15" customHeight="1" x14ac:dyDescent="0.25">
      <c r="M385" s="13" t="str">
        <f t="shared" si="5"/>
        <v/>
      </c>
    </row>
    <row r="386" spans="13:13" ht="15" customHeight="1" x14ac:dyDescent="0.25">
      <c r="M386" s="13" t="str">
        <f t="shared" si="5"/>
        <v/>
      </c>
    </row>
    <row r="387" spans="13:13" ht="15" customHeight="1" x14ac:dyDescent="0.25">
      <c r="M387" s="13" t="str">
        <f t="shared" ref="M387:M450" si="6">IF(J387="","",J387-A387)</f>
        <v/>
      </c>
    </row>
    <row r="388" spans="13:13" ht="15" customHeight="1" x14ac:dyDescent="0.25">
      <c r="M388" s="13" t="str">
        <f t="shared" si="6"/>
        <v/>
      </c>
    </row>
    <row r="389" spans="13:13" ht="15" customHeight="1" x14ac:dyDescent="0.25">
      <c r="M389" s="13" t="str">
        <f t="shared" si="6"/>
        <v/>
      </c>
    </row>
    <row r="390" spans="13:13" ht="15" customHeight="1" x14ac:dyDescent="0.25">
      <c r="M390" s="13" t="str">
        <f t="shared" si="6"/>
        <v/>
      </c>
    </row>
    <row r="391" spans="13:13" ht="15" customHeight="1" x14ac:dyDescent="0.25">
      <c r="M391" s="13" t="str">
        <f t="shared" si="6"/>
        <v/>
      </c>
    </row>
    <row r="392" spans="13:13" ht="15" customHeight="1" x14ac:dyDescent="0.25">
      <c r="M392" s="13" t="str">
        <f t="shared" si="6"/>
        <v/>
      </c>
    </row>
    <row r="393" spans="13:13" ht="15" customHeight="1" x14ac:dyDescent="0.25">
      <c r="M393" s="13" t="str">
        <f t="shared" si="6"/>
        <v/>
      </c>
    </row>
    <row r="394" spans="13:13" ht="15" customHeight="1" x14ac:dyDescent="0.25">
      <c r="M394" s="13" t="str">
        <f t="shared" si="6"/>
        <v/>
      </c>
    </row>
    <row r="395" spans="13:13" ht="15" customHeight="1" x14ac:dyDescent="0.25">
      <c r="M395" s="13" t="str">
        <f t="shared" si="6"/>
        <v/>
      </c>
    </row>
    <row r="396" spans="13:13" ht="15" customHeight="1" x14ac:dyDescent="0.25">
      <c r="M396" s="13" t="str">
        <f t="shared" si="6"/>
        <v/>
      </c>
    </row>
    <row r="397" spans="13:13" ht="15" customHeight="1" x14ac:dyDescent="0.25">
      <c r="M397" s="13" t="str">
        <f t="shared" si="6"/>
        <v/>
      </c>
    </row>
    <row r="398" spans="13:13" ht="15" customHeight="1" x14ac:dyDescent="0.25">
      <c r="M398" s="13" t="str">
        <f t="shared" si="6"/>
        <v/>
      </c>
    </row>
    <row r="399" spans="13:13" ht="15" customHeight="1" x14ac:dyDescent="0.25">
      <c r="M399" s="13" t="str">
        <f t="shared" si="6"/>
        <v/>
      </c>
    </row>
    <row r="400" spans="13:13" ht="15" customHeight="1" x14ac:dyDescent="0.25">
      <c r="M400" s="13" t="str">
        <f t="shared" si="6"/>
        <v/>
      </c>
    </row>
    <row r="401" spans="13:13" ht="15" customHeight="1" x14ac:dyDescent="0.25">
      <c r="M401" s="13" t="str">
        <f t="shared" si="6"/>
        <v/>
      </c>
    </row>
    <row r="402" spans="13:13" ht="15" customHeight="1" x14ac:dyDescent="0.25">
      <c r="M402" s="13" t="str">
        <f t="shared" si="6"/>
        <v/>
      </c>
    </row>
    <row r="403" spans="13:13" ht="15" customHeight="1" x14ac:dyDescent="0.25">
      <c r="M403" s="13" t="str">
        <f t="shared" si="6"/>
        <v/>
      </c>
    </row>
    <row r="404" spans="13:13" ht="15" customHeight="1" x14ac:dyDescent="0.25">
      <c r="M404" s="13" t="str">
        <f t="shared" si="6"/>
        <v/>
      </c>
    </row>
    <row r="405" spans="13:13" ht="15" customHeight="1" x14ac:dyDescent="0.25">
      <c r="M405" s="13" t="str">
        <f t="shared" si="6"/>
        <v/>
      </c>
    </row>
    <row r="406" spans="13:13" ht="15" customHeight="1" x14ac:dyDescent="0.25">
      <c r="M406" s="13" t="str">
        <f t="shared" si="6"/>
        <v/>
      </c>
    </row>
    <row r="407" spans="13:13" ht="15" customHeight="1" x14ac:dyDescent="0.25">
      <c r="M407" s="13" t="str">
        <f t="shared" si="6"/>
        <v/>
      </c>
    </row>
    <row r="408" spans="13:13" ht="15" customHeight="1" x14ac:dyDescent="0.25">
      <c r="M408" s="13" t="str">
        <f t="shared" si="6"/>
        <v/>
      </c>
    </row>
    <row r="409" spans="13:13" ht="15" customHeight="1" x14ac:dyDescent="0.25">
      <c r="M409" s="13" t="str">
        <f t="shared" si="6"/>
        <v/>
      </c>
    </row>
    <row r="410" spans="13:13" ht="15" customHeight="1" x14ac:dyDescent="0.25">
      <c r="M410" s="13" t="str">
        <f t="shared" si="6"/>
        <v/>
      </c>
    </row>
    <row r="411" spans="13:13" ht="15" customHeight="1" x14ac:dyDescent="0.25">
      <c r="M411" s="13" t="str">
        <f t="shared" si="6"/>
        <v/>
      </c>
    </row>
    <row r="412" spans="13:13" ht="15" customHeight="1" x14ac:dyDescent="0.25">
      <c r="M412" s="13" t="str">
        <f t="shared" si="6"/>
        <v/>
      </c>
    </row>
    <row r="413" spans="13:13" ht="15" customHeight="1" x14ac:dyDescent="0.25">
      <c r="M413" s="13" t="str">
        <f t="shared" si="6"/>
        <v/>
      </c>
    </row>
    <row r="414" spans="13:13" ht="15" customHeight="1" x14ac:dyDescent="0.25">
      <c r="M414" s="13" t="str">
        <f t="shared" si="6"/>
        <v/>
      </c>
    </row>
    <row r="415" spans="13:13" ht="15" customHeight="1" x14ac:dyDescent="0.25">
      <c r="M415" s="13" t="str">
        <f t="shared" si="6"/>
        <v/>
      </c>
    </row>
    <row r="416" spans="13:13" ht="15" customHeight="1" x14ac:dyDescent="0.25">
      <c r="M416" s="13" t="str">
        <f t="shared" si="6"/>
        <v/>
      </c>
    </row>
    <row r="417" spans="13:13" ht="15" customHeight="1" x14ac:dyDescent="0.25">
      <c r="M417" s="13" t="str">
        <f t="shared" si="6"/>
        <v/>
      </c>
    </row>
    <row r="418" spans="13:13" ht="15" customHeight="1" x14ac:dyDescent="0.25">
      <c r="M418" s="13" t="str">
        <f t="shared" si="6"/>
        <v/>
      </c>
    </row>
    <row r="419" spans="13:13" ht="15" customHeight="1" x14ac:dyDescent="0.25">
      <c r="M419" s="13" t="str">
        <f t="shared" si="6"/>
        <v/>
      </c>
    </row>
    <row r="420" spans="13:13" ht="15" customHeight="1" x14ac:dyDescent="0.25">
      <c r="M420" s="13" t="str">
        <f t="shared" si="6"/>
        <v/>
      </c>
    </row>
    <row r="421" spans="13:13" ht="15" customHeight="1" x14ac:dyDescent="0.25">
      <c r="M421" s="13" t="str">
        <f t="shared" si="6"/>
        <v/>
      </c>
    </row>
    <row r="422" spans="13:13" ht="15" customHeight="1" x14ac:dyDescent="0.25">
      <c r="M422" s="13" t="str">
        <f t="shared" si="6"/>
        <v/>
      </c>
    </row>
    <row r="423" spans="13:13" ht="15" customHeight="1" x14ac:dyDescent="0.25">
      <c r="M423" s="13" t="str">
        <f t="shared" si="6"/>
        <v/>
      </c>
    </row>
    <row r="424" spans="13:13" ht="15" customHeight="1" x14ac:dyDescent="0.25">
      <c r="M424" s="13" t="str">
        <f t="shared" si="6"/>
        <v/>
      </c>
    </row>
    <row r="425" spans="13:13" ht="15" customHeight="1" x14ac:dyDescent="0.25">
      <c r="M425" s="13" t="str">
        <f t="shared" si="6"/>
        <v/>
      </c>
    </row>
    <row r="426" spans="13:13" ht="15" customHeight="1" x14ac:dyDescent="0.25">
      <c r="M426" s="13" t="str">
        <f t="shared" si="6"/>
        <v/>
      </c>
    </row>
    <row r="427" spans="13:13" ht="15" customHeight="1" x14ac:dyDescent="0.25">
      <c r="M427" s="13" t="str">
        <f t="shared" si="6"/>
        <v/>
      </c>
    </row>
    <row r="428" spans="13:13" ht="15" customHeight="1" x14ac:dyDescent="0.25">
      <c r="M428" s="13" t="str">
        <f t="shared" si="6"/>
        <v/>
      </c>
    </row>
    <row r="429" spans="13:13" ht="15" customHeight="1" x14ac:dyDescent="0.25">
      <c r="M429" s="13" t="str">
        <f t="shared" si="6"/>
        <v/>
      </c>
    </row>
    <row r="430" spans="13:13" ht="15" customHeight="1" x14ac:dyDescent="0.25">
      <c r="M430" s="13" t="str">
        <f t="shared" si="6"/>
        <v/>
      </c>
    </row>
    <row r="431" spans="13:13" ht="15" customHeight="1" x14ac:dyDescent="0.25">
      <c r="M431" s="13" t="str">
        <f t="shared" si="6"/>
        <v/>
      </c>
    </row>
    <row r="432" spans="13:13" ht="15" customHeight="1" x14ac:dyDescent="0.25">
      <c r="M432" s="13" t="str">
        <f t="shared" si="6"/>
        <v/>
      </c>
    </row>
    <row r="433" spans="13:13" ht="15" customHeight="1" x14ac:dyDescent="0.25">
      <c r="M433" s="13" t="str">
        <f t="shared" si="6"/>
        <v/>
      </c>
    </row>
    <row r="434" spans="13:13" ht="15" customHeight="1" x14ac:dyDescent="0.25">
      <c r="M434" s="13" t="str">
        <f t="shared" si="6"/>
        <v/>
      </c>
    </row>
    <row r="435" spans="13:13" ht="15" customHeight="1" x14ac:dyDescent="0.25">
      <c r="M435" s="13" t="str">
        <f t="shared" si="6"/>
        <v/>
      </c>
    </row>
    <row r="436" spans="13:13" ht="15" customHeight="1" x14ac:dyDescent="0.25">
      <c r="M436" s="13" t="str">
        <f t="shared" si="6"/>
        <v/>
      </c>
    </row>
    <row r="437" spans="13:13" ht="15" customHeight="1" x14ac:dyDescent="0.25">
      <c r="M437" s="13" t="str">
        <f t="shared" si="6"/>
        <v/>
      </c>
    </row>
    <row r="438" spans="13:13" ht="15" customHeight="1" x14ac:dyDescent="0.25">
      <c r="M438" s="13" t="str">
        <f t="shared" si="6"/>
        <v/>
      </c>
    </row>
    <row r="439" spans="13:13" ht="15" customHeight="1" x14ac:dyDescent="0.25">
      <c r="M439" s="13" t="str">
        <f t="shared" si="6"/>
        <v/>
      </c>
    </row>
    <row r="440" spans="13:13" ht="15" customHeight="1" x14ac:dyDescent="0.25">
      <c r="M440" s="13" t="str">
        <f t="shared" si="6"/>
        <v/>
      </c>
    </row>
    <row r="441" spans="13:13" ht="15" customHeight="1" x14ac:dyDescent="0.25">
      <c r="M441" s="13" t="str">
        <f t="shared" si="6"/>
        <v/>
      </c>
    </row>
    <row r="442" spans="13:13" ht="15" customHeight="1" x14ac:dyDescent="0.25">
      <c r="M442" s="13" t="str">
        <f t="shared" si="6"/>
        <v/>
      </c>
    </row>
    <row r="443" spans="13:13" ht="15" customHeight="1" x14ac:dyDescent="0.25">
      <c r="M443" s="13" t="str">
        <f t="shared" si="6"/>
        <v/>
      </c>
    </row>
    <row r="444" spans="13:13" ht="15" customHeight="1" x14ac:dyDescent="0.25">
      <c r="M444" s="13" t="str">
        <f t="shared" si="6"/>
        <v/>
      </c>
    </row>
    <row r="445" spans="13:13" ht="15" customHeight="1" x14ac:dyDescent="0.25">
      <c r="M445" s="13" t="str">
        <f t="shared" si="6"/>
        <v/>
      </c>
    </row>
    <row r="446" spans="13:13" ht="15" customHeight="1" x14ac:dyDescent="0.25">
      <c r="M446" s="13" t="str">
        <f t="shared" si="6"/>
        <v/>
      </c>
    </row>
    <row r="447" spans="13:13" ht="15" customHeight="1" x14ac:dyDescent="0.25">
      <c r="M447" s="13" t="str">
        <f t="shared" si="6"/>
        <v/>
      </c>
    </row>
    <row r="448" spans="13:13" ht="15" customHeight="1" x14ac:dyDescent="0.25">
      <c r="M448" s="13" t="str">
        <f t="shared" si="6"/>
        <v/>
      </c>
    </row>
    <row r="449" spans="13:13" ht="15" customHeight="1" x14ac:dyDescent="0.25">
      <c r="M449" s="13" t="str">
        <f t="shared" si="6"/>
        <v/>
      </c>
    </row>
    <row r="450" spans="13:13" ht="15" customHeight="1" x14ac:dyDescent="0.25">
      <c r="M450" s="13" t="str">
        <f t="shared" si="6"/>
        <v/>
      </c>
    </row>
    <row r="451" spans="13:13" ht="15" customHeight="1" x14ac:dyDescent="0.25">
      <c r="M451" s="13" t="str">
        <f t="shared" ref="M451:M500" si="7">IF(J451="","",J451-A451)</f>
        <v/>
      </c>
    </row>
    <row r="452" spans="13:13" ht="15" customHeight="1" x14ac:dyDescent="0.25">
      <c r="M452" s="13" t="str">
        <f t="shared" si="7"/>
        <v/>
      </c>
    </row>
    <row r="453" spans="13:13" ht="15" customHeight="1" x14ac:dyDescent="0.25">
      <c r="M453" s="13" t="str">
        <f t="shared" si="7"/>
        <v/>
      </c>
    </row>
    <row r="454" spans="13:13" ht="15" customHeight="1" x14ac:dyDescent="0.25">
      <c r="M454" s="13" t="str">
        <f t="shared" si="7"/>
        <v/>
      </c>
    </row>
    <row r="455" spans="13:13" ht="15" customHeight="1" x14ac:dyDescent="0.25">
      <c r="M455" s="13" t="str">
        <f t="shared" si="7"/>
        <v/>
      </c>
    </row>
    <row r="456" spans="13:13" ht="15" customHeight="1" x14ac:dyDescent="0.25">
      <c r="M456" s="13" t="str">
        <f t="shared" si="7"/>
        <v/>
      </c>
    </row>
    <row r="457" spans="13:13" ht="15" customHeight="1" x14ac:dyDescent="0.25">
      <c r="M457" s="13" t="str">
        <f t="shared" si="7"/>
        <v/>
      </c>
    </row>
    <row r="458" spans="13:13" ht="15" customHeight="1" x14ac:dyDescent="0.25">
      <c r="M458" s="13" t="str">
        <f t="shared" si="7"/>
        <v/>
      </c>
    </row>
    <row r="459" spans="13:13" ht="15" customHeight="1" x14ac:dyDescent="0.25">
      <c r="M459" s="13" t="str">
        <f t="shared" si="7"/>
        <v/>
      </c>
    </row>
    <row r="460" spans="13:13" ht="15" customHeight="1" x14ac:dyDescent="0.25">
      <c r="M460" s="13" t="str">
        <f t="shared" si="7"/>
        <v/>
      </c>
    </row>
    <row r="461" spans="13:13" ht="15" customHeight="1" x14ac:dyDescent="0.25">
      <c r="M461" s="13" t="str">
        <f t="shared" si="7"/>
        <v/>
      </c>
    </row>
    <row r="462" spans="13:13" ht="15" customHeight="1" x14ac:dyDescent="0.25">
      <c r="M462" s="13" t="str">
        <f t="shared" si="7"/>
        <v/>
      </c>
    </row>
    <row r="463" spans="13:13" ht="15" customHeight="1" x14ac:dyDescent="0.25">
      <c r="M463" s="13" t="str">
        <f t="shared" si="7"/>
        <v/>
      </c>
    </row>
    <row r="464" spans="13:13" ht="15" customHeight="1" x14ac:dyDescent="0.25">
      <c r="M464" s="13" t="str">
        <f t="shared" si="7"/>
        <v/>
      </c>
    </row>
    <row r="465" spans="13:13" ht="15" customHeight="1" x14ac:dyDescent="0.25">
      <c r="M465" s="13" t="str">
        <f t="shared" si="7"/>
        <v/>
      </c>
    </row>
    <row r="466" spans="13:13" ht="15" customHeight="1" x14ac:dyDescent="0.25">
      <c r="M466" s="13" t="str">
        <f t="shared" si="7"/>
        <v/>
      </c>
    </row>
    <row r="467" spans="13:13" ht="15" customHeight="1" x14ac:dyDescent="0.25">
      <c r="M467" s="13" t="str">
        <f t="shared" si="7"/>
        <v/>
      </c>
    </row>
    <row r="468" spans="13:13" ht="15" customHeight="1" x14ac:dyDescent="0.25">
      <c r="M468" s="13" t="str">
        <f t="shared" si="7"/>
        <v/>
      </c>
    </row>
    <row r="469" spans="13:13" ht="15" customHeight="1" x14ac:dyDescent="0.25">
      <c r="M469" s="13" t="str">
        <f t="shared" si="7"/>
        <v/>
      </c>
    </row>
    <row r="470" spans="13:13" ht="15" customHeight="1" x14ac:dyDescent="0.25">
      <c r="M470" s="13" t="str">
        <f t="shared" si="7"/>
        <v/>
      </c>
    </row>
    <row r="471" spans="13:13" ht="15" customHeight="1" x14ac:dyDescent="0.25">
      <c r="M471" s="13" t="str">
        <f t="shared" si="7"/>
        <v/>
      </c>
    </row>
    <row r="472" spans="13:13" ht="15" customHeight="1" x14ac:dyDescent="0.25">
      <c r="M472" s="13" t="str">
        <f t="shared" si="7"/>
        <v/>
      </c>
    </row>
    <row r="473" spans="13:13" ht="15" customHeight="1" x14ac:dyDescent="0.25">
      <c r="M473" s="13" t="str">
        <f t="shared" si="7"/>
        <v/>
      </c>
    </row>
    <row r="474" spans="13:13" ht="15" customHeight="1" x14ac:dyDescent="0.25">
      <c r="M474" s="13" t="str">
        <f t="shared" si="7"/>
        <v/>
      </c>
    </row>
    <row r="475" spans="13:13" ht="15" customHeight="1" x14ac:dyDescent="0.25">
      <c r="M475" s="13" t="str">
        <f t="shared" si="7"/>
        <v/>
      </c>
    </row>
    <row r="476" spans="13:13" ht="15" customHeight="1" x14ac:dyDescent="0.25">
      <c r="M476" s="13" t="str">
        <f t="shared" si="7"/>
        <v/>
      </c>
    </row>
    <row r="477" spans="13:13" ht="15" customHeight="1" x14ac:dyDescent="0.25">
      <c r="M477" s="13" t="str">
        <f t="shared" si="7"/>
        <v/>
      </c>
    </row>
    <row r="478" spans="13:13" ht="15" customHeight="1" x14ac:dyDescent="0.25">
      <c r="M478" s="13" t="str">
        <f t="shared" si="7"/>
        <v/>
      </c>
    </row>
    <row r="479" spans="13:13" ht="15" customHeight="1" x14ac:dyDescent="0.25">
      <c r="M479" s="13" t="str">
        <f t="shared" si="7"/>
        <v/>
      </c>
    </row>
    <row r="480" spans="13:13" ht="15" customHeight="1" x14ac:dyDescent="0.25">
      <c r="M480" s="13" t="str">
        <f t="shared" si="7"/>
        <v/>
      </c>
    </row>
    <row r="481" spans="13:13" ht="15" customHeight="1" x14ac:dyDescent="0.25">
      <c r="M481" s="13" t="str">
        <f t="shared" si="7"/>
        <v/>
      </c>
    </row>
    <row r="482" spans="13:13" ht="15" customHeight="1" x14ac:dyDescent="0.25">
      <c r="M482" s="13" t="str">
        <f t="shared" si="7"/>
        <v/>
      </c>
    </row>
    <row r="483" spans="13:13" ht="15" customHeight="1" x14ac:dyDescent="0.25">
      <c r="M483" s="13" t="str">
        <f t="shared" si="7"/>
        <v/>
      </c>
    </row>
    <row r="484" spans="13:13" ht="15" customHeight="1" x14ac:dyDescent="0.25">
      <c r="M484" s="13" t="str">
        <f t="shared" si="7"/>
        <v/>
      </c>
    </row>
    <row r="485" spans="13:13" ht="15" customHeight="1" x14ac:dyDescent="0.25">
      <c r="M485" s="13" t="str">
        <f t="shared" si="7"/>
        <v/>
      </c>
    </row>
    <row r="486" spans="13:13" ht="15" customHeight="1" x14ac:dyDescent="0.25">
      <c r="M486" s="13" t="str">
        <f t="shared" si="7"/>
        <v/>
      </c>
    </row>
    <row r="487" spans="13:13" ht="15" customHeight="1" x14ac:dyDescent="0.25">
      <c r="M487" s="13" t="str">
        <f t="shared" si="7"/>
        <v/>
      </c>
    </row>
    <row r="488" spans="13:13" ht="15" customHeight="1" x14ac:dyDescent="0.25">
      <c r="M488" s="13" t="str">
        <f t="shared" si="7"/>
        <v/>
      </c>
    </row>
    <row r="489" spans="13:13" ht="15" customHeight="1" x14ac:dyDescent="0.25">
      <c r="M489" s="13" t="str">
        <f t="shared" si="7"/>
        <v/>
      </c>
    </row>
    <row r="490" spans="13:13" ht="15" customHeight="1" x14ac:dyDescent="0.25">
      <c r="M490" s="13" t="str">
        <f t="shared" si="7"/>
        <v/>
      </c>
    </row>
    <row r="491" spans="13:13" ht="15" customHeight="1" x14ac:dyDescent="0.25">
      <c r="M491" s="13" t="str">
        <f t="shared" si="7"/>
        <v/>
      </c>
    </row>
    <row r="492" spans="13:13" ht="15" customHeight="1" x14ac:dyDescent="0.25">
      <c r="M492" s="13" t="str">
        <f t="shared" si="7"/>
        <v/>
      </c>
    </row>
    <row r="493" spans="13:13" ht="15" customHeight="1" x14ac:dyDescent="0.25">
      <c r="M493" s="13" t="str">
        <f t="shared" si="7"/>
        <v/>
      </c>
    </row>
    <row r="494" spans="13:13" ht="15" customHeight="1" x14ac:dyDescent="0.25">
      <c r="M494" s="13" t="str">
        <f t="shared" si="7"/>
        <v/>
      </c>
    </row>
    <row r="495" spans="13:13" ht="15" customHeight="1" x14ac:dyDescent="0.25">
      <c r="M495" s="13" t="str">
        <f t="shared" si="7"/>
        <v/>
      </c>
    </row>
    <row r="496" spans="13:13" ht="15" customHeight="1" x14ac:dyDescent="0.25">
      <c r="M496" s="13" t="str">
        <f t="shared" si="7"/>
        <v/>
      </c>
    </row>
    <row r="497" spans="13:13" ht="15" customHeight="1" x14ac:dyDescent="0.25">
      <c r="M497" s="13" t="str">
        <f t="shared" si="7"/>
        <v/>
      </c>
    </row>
    <row r="498" spans="13:13" ht="15" customHeight="1" x14ac:dyDescent="0.25">
      <c r="M498" s="13" t="str">
        <f t="shared" si="7"/>
        <v/>
      </c>
    </row>
    <row r="499" spans="13:13" ht="15" customHeight="1" x14ac:dyDescent="0.25">
      <c r="M499" s="13" t="str">
        <f t="shared" si="7"/>
        <v/>
      </c>
    </row>
    <row r="500" spans="13:13" ht="15" customHeight="1" x14ac:dyDescent="0.25">
      <c r="M500" s="13" t="str">
        <f t="shared" si="7"/>
        <v/>
      </c>
    </row>
  </sheetData>
  <mergeCells count="1">
    <mergeCell ref="A1:M1"/>
  </mergeCells>
  <conditionalFormatting sqref="A3:M1000">
    <cfRule type="expression" dxfId="2" priority="2">
      <formula>AND($H3&lt;TODAY(),$H3&lt;&gt;"",$G3="Applied")</formula>
    </cfRule>
    <cfRule type="expression" dxfId="1" priority="3">
      <formula>AND($J3&gt;=TODAY(),$J3&lt;=TODAY()+3)</formula>
    </cfRule>
    <cfRule type="expression" dxfId="0" priority="4">
      <formula>NOT(ISERROR(SEARCH("Offer",$K3)))</formula>
    </cfRule>
  </conditionalFormatting>
  <dataValidations count="3">
    <dataValidation type="list" allowBlank="1" showErrorMessage="1" errorTitle="Invalid Entry" error="Select a valid status." sqref="G3:G1000" xr:uid="{00000000-0002-0000-0100-000000000000}">
      <formula1>"Applied,In Review,Interview Scheduled,Interviewed,Offer,Rejected,Closed / No Response"</formula1>
      <formula2>0</formula2>
    </dataValidation>
    <dataValidation type="list" allowBlank="1" sqref="F3:F1000" xr:uid="{00000000-0002-0000-0100-000001000000}">
      <formula1>"Master,BI-Focused,PM-Focused,Ops-Focused,Tailored Version"</formula1>
      <formula2>0</formula2>
    </dataValidation>
    <dataValidation type="list" allowBlank="1" sqref="K3:K1000" xr:uid="{00000000-0002-0000-0100-000002000000}">
      <formula1>"Offer Accepted,Offer Declined,Rejected,No Response,Withdrew"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7FB77E"/>
  </sheetPr>
  <dimension ref="A1:W79"/>
  <sheetViews>
    <sheetView showGridLines="0" zoomScaleNormal="100" workbookViewId="0">
      <selection activeCell="C36" sqref="C36"/>
    </sheetView>
  </sheetViews>
  <sheetFormatPr defaultColWidth="8.7109375" defaultRowHeight="15" x14ac:dyDescent="0.25"/>
  <cols>
    <col min="1" max="1" width="2" customWidth="1"/>
    <col min="2" max="2" width="22" customWidth="1"/>
    <col min="3" max="17" width="14" customWidth="1"/>
    <col min="18" max="18" width="2" customWidth="1"/>
  </cols>
  <sheetData>
    <row r="1" spans="1:23" ht="18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ht="36" customHeight="1" x14ac:dyDescent="0.25">
      <c r="A2" s="14"/>
      <c r="B2" s="51" t="s">
        <v>58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14"/>
      <c r="P2" s="14"/>
      <c r="Q2" s="14"/>
      <c r="R2" s="14"/>
      <c r="S2" s="14"/>
      <c r="T2" s="14"/>
      <c r="U2" s="14"/>
      <c r="V2" s="14"/>
      <c r="W2" s="14"/>
    </row>
    <row r="3" spans="1:23" ht="18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ht="19.5" customHeight="1" x14ac:dyDescent="0.25">
      <c r="A4" s="14"/>
      <c r="B4" s="52" t="s">
        <v>59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14"/>
      <c r="S4" s="14"/>
      <c r="T4" s="14"/>
      <c r="U4" s="14"/>
      <c r="V4" s="14"/>
      <c r="W4" s="14"/>
    </row>
    <row r="5" spans="1:23" ht="7.5" customHeight="1" x14ac:dyDescent="0.2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4"/>
      <c r="S5" s="14"/>
      <c r="T5" s="14"/>
      <c r="U5" s="14"/>
      <c r="V5" s="14"/>
      <c r="W5" s="14"/>
    </row>
    <row r="6" spans="1:23" ht="42" customHeight="1" x14ac:dyDescent="0.25">
      <c r="A6" s="14"/>
      <c r="B6" s="53">
        <f ca="1">COUNTIFS(Log!A:A,"&gt;="&amp;TODAY()-7)</f>
        <v>0</v>
      </c>
      <c r="C6" s="53"/>
      <c r="D6" s="53"/>
      <c r="E6" s="53"/>
      <c r="F6" s="53">
        <f ca="1">COUNTIFS(Log!H:H,"&lt;"&amp;TODAY(),Log!G:G,"Applied")</f>
        <v>2</v>
      </c>
      <c r="G6" s="53"/>
      <c r="H6" s="53"/>
      <c r="I6" s="53"/>
      <c r="J6" s="54">
        <f>IFERROR(COUNTIF(Log!G:G,"Interview Scheduled")/(COUNTA(Log!A:A)-1),0)</f>
        <v>0.16666666666666666</v>
      </c>
      <c r="K6" s="54"/>
      <c r="L6" s="54"/>
      <c r="M6" s="54"/>
      <c r="N6" s="54">
        <f>IFERROR(COUNTIF(Log!G:G,"Offer")/(COUNTA(Log!A:A)-1),0)</f>
        <v>0</v>
      </c>
      <c r="O6" s="54"/>
      <c r="P6" s="54"/>
      <c r="Q6" s="54"/>
      <c r="R6" s="14"/>
      <c r="S6" s="14"/>
      <c r="T6" s="14"/>
      <c r="U6" s="14"/>
      <c r="V6" s="14"/>
      <c r="W6" s="14"/>
    </row>
    <row r="7" spans="1:23" ht="21.75" customHeight="1" x14ac:dyDescent="0.25">
      <c r="A7" s="14"/>
      <c r="B7" s="55" t="s">
        <v>60</v>
      </c>
      <c r="C7" s="55"/>
      <c r="D7" s="55"/>
      <c r="E7" s="55"/>
      <c r="F7" s="55" t="s">
        <v>61</v>
      </c>
      <c r="G7" s="55"/>
      <c r="H7" s="55"/>
      <c r="I7" s="55"/>
      <c r="J7" s="55" t="s">
        <v>62</v>
      </c>
      <c r="K7" s="55"/>
      <c r="L7" s="55"/>
      <c r="M7" s="55"/>
      <c r="N7" s="55" t="s">
        <v>63</v>
      </c>
      <c r="O7" s="55"/>
      <c r="P7" s="55"/>
      <c r="Q7" s="55"/>
      <c r="R7" s="14"/>
      <c r="S7" s="14"/>
      <c r="T7" s="14"/>
      <c r="U7" s="14"/>
      <c r="V7" s="14"/>
      <c r="W7" s="14"/>
    </row>
    <row r="8" spans="1:23" ht="7.5" customHeight="1" x14ac:dyDescent="0.25">
      <c r="A8" s="14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4"/>
      <c r="S8" s="14"/>
      <c r="T8" s="14"/>
      <c r="U8" s="14"/>
      <c r="V8" s="14"/>
      <c r="W8" s="14"/>
    </row>
    <row r="9" spans="1:23" ht="18" customHeight="1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ht="19.5" customHeight="1" x14ac:dyDescent="0.25">
      <c r="A10" s="14"/>
      <c r="B10" s="52" t="s">
        <v>64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14"/>
      <c r="S10" s="14"/>
      <c r="T10" s="14"/>
      <c r="U10" s="14"/>
      <c r="V10" s="14"/>
      <c r="W10" s="14"/>
    </row>
    <row r="11" spans="1:23" ht="21.75" customHeight="1" x14ac:dyDescent="0.25">
      <c r="A11" s="14"/>
      <c r="B11" s="56" t="s">
        <v>65</v>
      </c>
      <c r="C11" s="56"/>
      <c r="D11" s="56"/>
      <c r="E11" s="56"/>
      <c r="F11" s="56"/>
      <c r="G11" s="56"/>
      <c r="H11" s="56"/>
      <c r="I11" s="56"/>
      <c r="J11" s="56"/>
      <c r="K11" s="57">
        <f ca="1">T12</f>
        <v>0</v>
      </c>
      <c r="L11" s="57"/>
      <c r="M11" s="57"/>
      <c r="N11" s="58" t="s">
        <v>66</v>
      </c>
      <c r="O11" s="58"/>
      <c r="P11" s="58"/>
      <c r="Q11" s="58"/>
      <c r="R11" s="14"/>
      <c r="S11" s="14"/>
      <c r="T11" s="14"/>
      <c r="U11" s="14"/>
      <c r="V11" s="14"/>
      <c r="W11" s="14"/>
    </row>
    <row r="12" spans="1:23" ht="21.75" customHeight="1" x14ac:dyDescent="0.25">
      <c r="A12" s="14"/>
      <c r="B12" s="56" t="s">
        <v>67</v>
      </c>
      <c r="C12" s="56"/>
      <c r="D12" s="56"/>
      <c r="E12" s="56"/>
      <c r="F12" s="56"/>
      <c r="G12" s="56"/>
      <c r="H12" s="56"/>
      <c r="I12" s="56"/>
      <c r="J12" s="56"/>
      <c r="K12" s="57">
        <f ca="1">T13</f>
        <v>10</v>
      </c>
      <c r="L12" s="57"/>
      <c r="M12" s="57"/>
      <c r="N12" s="58" t="s">
        <v>66</v>
      </c>
      <c r="O12" s="58"/>
      <c r="P12" s="58"/>
      <c r="Q12" s="58"/>
      <c r="R12" s="14"/>
      <c r="S12" s="14"/>
      <c r="T12" s="17">
        <f ca="1">MIN((COUNTIFS(Log!A:A,"&gt;="&amp;TODAY()-7)/5)*30,30)</f>
        <v>0</v>
      </c>
      <c r="U12" s="14"/>
      <c r="V12" s="14"/>
      <c r="W12" s="14"/>
    </row>
    <row r="13" spans="1:23" ht="21.75" customHeight="1" x14ac:dyDescent="0.25">
      <c r="A13" s="14"/>
      <c r="B13" s="56" t="s">
        <v>68</v>
      </c>
      <c r="C13" s="56"/>
      <c r="D13" s="56"/>
      <c r="E13" s="56"/>
      <c r="F13" s="56"/>
      <c r="G13" s="56"/>
      <c r="H13" s="56"/>
      <c r="I13" s="56"/>
      <c r="J13" s="56"/>
      <c r="K13" s="57">
        <f>T14</f>
        <v>4.1666666666666661</v>
      </c>
      <c r="L13" s="57"/>
      <c r="M13" s="57"/>
      <c r="N13" s="58" t="s">
        <v>69</v>
      </c>
      <c r="O13" s="58"/>
      <c r="P13" s="58"/>
      <c r="Q13" s="58"/>
      <c r="R13" s="14"/>
      <c r="S13" s="14"/>
      <c r="T13" s="17">
        <f ca="1">MAX(30-(COUNTIFS(Log!H:H,"&lt;"&amp;TODAY(),Log!G:G,"Applied")*10),0)</f>
        <v>10</v>
      </c>
      <c r="U13" s="14"/>
      <c r="V13" s="14"/>
      <c r="W13" s="14"/>
    </row>
    <row r="14" spans="1:23" ht="21.75" customHeight="1" x14ac:dyDescent="0.25">
      <c r="A14" s="14"/>
      <c r="B14" s="56" t="s">
        <v>70</v>
      </c>
      <c r="C14" s="56"/>
      <c r="D14" s="56"/>
      <c r="E14" s="56"/>
      <c r="F14" s="56"/>
      <c r="G14" s="56"/>
      <c r="H14" s="56"/>
      <c r="I14" s="56"/>
      <c r="J14" s="56"/>
      <c r="K14" s="57">
        <f>T15</f>
        <v>0</v>
      </c>
      <c r="L14" s="57"/>
      <c r="M14" s="57"/>
      <c r="N14" s="58" t="s">
        <v>71</v>
      </c>
      <c r="O14" s="58"/>
      <c r="P14" s="58"/>
      <c r="Q14" s="58"/>
      <c r="R14" s="14"/>
      <c r="S14" s="14"/>
      <c r="T14" s="17">
        <f>IFERROR(MIN((COUNTIF(Log!G:G,"Interview Scheduled")/(COUNTA(Log!A:A)-1))*25,25),0)</f>
        <v>4.1666666666666661</v>
      </c>
      <c r="U14" s="14"/>
      <c r="V14" s="14"/>
      <c r="W14" s="14"/>
    </row>
    <row r="15" spans="1:23" ht="21.75" customHeight="1" x14ac:dyDescent="0.25">
      <c r="A15" s="14"/>
      <c r="B15" s="59" t="s">
        <v>72</v>
      </c>
      <c r="C15" s="59"/>
      <c r="D15" s="59"/>
      <c r="E15" s="59"/>
      <c r="F15" s="59"/>
      <c r="G15" s="59"/>
      <c r="H15" s="59"/>
      <c r="I15" s="59"/>
      <c r="J15" s="59"/>
      <c r="K15" s="60">
        <f ca="1">T16</f>
        <v>14.166666666666666</v>
      </c>
      <c r="L15" s="60"/>
      <c r="M15" s="60"/>
      <c r="N15" s="58"/>
      <c r="O15" s="58"/>
      <c r="P15" s="58"/>
      <c r="Q15" s="58"/>
      <c r="R15" s="14"/>
      <c r="S15" s="14"/>
      <c r="T15" s="17">
        <f>IFERROR(MIN((COUNTIF(Log!G:G,"Offer")/(COUNTA(Log!A:A)-1))*15,15),0)</f>
        <v>0</v>
      </c>
      <c r="U15" s="14"/>
      <c r="V15" s="14"/>
      <c r="W15" s="14"/>
    </row>
    <row r="16" spans="1:23" ht="18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7">
        <f ca="1">T12+T13+T14+T15</f>
        <v>14.166666666666666</v>
      </c>
      <c r="U16" s="14"/>
      <c r="V16" s="14"/>
      <c r="W16" s="14"/>
    </row>
    <row r="17" spans="1:23" ht="19.5" customHeight="1" x14ac:dyDescent="0.25">
      <c r="A17" s="14"/>
      <c r="B17" s="52" t="s">
        <v>73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14"/>
      <c r="S17" s="14"/>
      <c r="T17" s="14"/>
      <c r="U17" s="14"/>
      <c r="V17" s="14"/>
      <c r="W17" s="14"/>
    </row>
    <row r="18" spans="1:23" ht="19.5" customHeight="1" x14ac:dyDescent="0.25">
      <c r="A18" s="14"/>
      <c r="B18" s="5" t="s">
        <v>74</v>
      </c>
      <c r="C18" s="5" t="s">
        <v>75</v>
      </c>
      <c r="D18" s="5" t="s">
        <v>76</v>
      </c>
      <c r="E18" s="5" t="s">
        <v>77</v>
      </c>
      <c r="F18" s="5" t="s">
        <v>62</v>
      </c>
      <c r="G18" s="5" t="s">
        <v>63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ht="18" customHeight="1" x14ac:dyDescent="0.25">
      <c r="A19" s="14"/>
      <c r="B19" s="7" t="s">
        <v>43</v>
      </c>
      <c r="C19" s="8">
        <f>COUNTIF(Log!F:F,"Master")</f>
        <v>1</v>
      </c>
      <c r="D19" s="8">
        <f>COUNTIFS(Log!F:F,"Master",Log!G:G,"Interview Scheduled")</f>
        <v>0</v>
      </c>
      <c r="E19" s="8">
        <f>COUNTIFS(Log!F:F,"Master",Log!G:G,"Offer")</f>
        <v>0</v>
      </c>
      <c r="F19" s="18">
        <f>IFERROR(D19/C19,0)</f>
        <v>0</v>
      </c>
      <c r="G19" s="18">
        <f>IFERROR(E19/C19,0)</f>
        <v>0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 ht="18" customHeight="1" x14ac:dyDescent="0.25">
      <c r="A20" s="14"/>
      <c r="B20" s="11" t="s">
        <v>28</v>
      </c>
      <c r="C20" s="12">
        <f>COUNTIF(Log!F:F,"BI-Focused")</f>
        <v>1</v>
      </c>
      <c r="D20" s="12">
        <f>COUNTIFS(Log!F:F,"BI-Focused",Log!G:G,"Interview Scheduled")</f>
        <v>1</v>
      </c>
      <c r="E20" s="12">
        <f>COUNTIFS(Log!F:F,"BI-Focused",Log!G:G,"Offer")</f>
        <v>0</v>
      </c>
      <c r="F20" s="19">
        <f>IFERROR(D20/C20,0)</f>
        <v>1</v>
      </c>
      <c r="G20" s="19">
        <f>IFERROR(E20/C20,0)</f>
        <v>0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3" ht="18" customHeight="1" x14ac:dyDescent="0.25">
      <c r="A21" s="14"/>
      <c r="B21" s="7" t="s">
        <v>50</v>
      </c>
      <c r="C21" s="8">
        <f>COUNTIF(Log!F:F,"PM-Focused")</f>
        <v>1</v>
      </c>
      <c r="D21" s="8">
        <f>COUNTIFS(Log!F:F,"PM-Focused",Log!G:G,"Interview Scheduled")</f>
        <v>0</v>
      </c>
      <c r="E21" s="8">
        <f>COUNTIFS(Log!F:F,"PM-Focused",Log!G:G,"Offer")</f>
        <v>0</v>
      </c>
      <c r="F21" s="18">
        <f>IFERROR(D21/C21,0)</f>
        <v>0</v>
      </c>
      <c r="G21" s="18">
        <f>IFERROR(E21/C21,0)</f>
        <v>0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3" ht="18" customHeight="1" x14ac:dyDescent="0.25">
      <c r="A22" s="14"/>
      <c r="B22" s="11" t="s">
        <v>36</v>
      </c>
      <c r="C22" s="12">
        <f>COUNTIF(Log!F:F,"Ops-Focused")</f>
        <v>1</v>
      </c>
      <c r="D22" s="12">
        <f>COUNTIFS(Log!F:F,"Ops-Focused",Log!G:G,"Interview Scheduled")</f>
        <v>0</v>
      </c>
      <c r="E22" s="12">
        <f>COUNTIFS(Log!F:F,"Ops-Focused",Log!G:G,"Offer")</f>
        <v>0</v>
      </c>
      <c r="F22" s="19">
        <f>IFERROR(D22/C22,0)</f>
        <v>0</v>
      </c>
      <c r="G22" s="19">
        <f>IFERROR(E22/C22,0)</f>
        <v>0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3" ht="18" customHeight="1" x14ac:dyDescent="0.25">
      <c r="A23" s="14"/>
      <c r="B23" s="7" t="s">
        <v>56</v>
      </c>
      <c r="C23" s="8">
        <f>COUNTIF(Log!F:F,"Tailored Version")</f>
        <v>1</v>
      </c>
      <c r="D23" s="8">
        <f>COUNTIFS(Log!F:F,"Tailored Version",Log!G:G,"Interview Scheduled")</f>
        <v>0</v>
      </c>
      <c r="E23" s="8">
        <f>COUNTIFS(Log!F:F,"Tailored Version",Log!G:G,"Offer")</f>
        <v>0</v>
      </c>
      <c r="F23" s="18">
        <f>IFERROR(D23/C23,0)</f>
        <v>0</v>
      </c>
      <c r="G23" s="18">
        <f>IFERROR(E23/C23,0)</f>
        <v>0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3" ht="18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1:23" ht="18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 ht="19.5" customHeight="1" x14ac:dyDescent="0.25">
      <c r="A26" s="14"/>
      <c r="B26" s="52" t="s">
        <v>78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14"/>
      <c r="S26" s="14"/>
      <c r="T26" s="14"/>
      <c r="U26" s="14"/>
      <c r="V26" s="14"/>
      <c r="W26" s="14"/>
    </row>
    <row r="27" spans="1:23" ht="19.5" customHeight="1" x14ac:dyDescent="0.25">
      <c r="A27" s="14"/>
      <c r="B27" s="5" t="s">
        <v>17</v>
      </c>
      <c r="C27" s="5" t="s">
        <v>79</v>
      </c>
      <c r="D27" s="5" t="s">
        <v>80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1:23" ht="18" customHeight="1" x14ac:dyDescent="0.25">
      <c r="A28" s="14"/>
      <c r="B28" s="7" t="s">
        <v>37</v>
      </c>
      <c r="C28" s="8">
        <f>COUNTIF(Log!G:G,"Applied")</f>
        <v>2</v>
      </c>
      <c r="D28" s="18">
        <f>IFERROR(C28/(COUNTA(Log!A:A)-2),0)</f>
        <v>0.4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1:23" ht="18" customHeight="1" x14ac:dyDescent="0.25">
      <c r="A29" s="14"/>
      <c r="B29" s="11" t="s">
        <v>44</v>
      </c>
      <c r="C29" s="12">
        <f>COUNTIF(Log!G:G,"In Review")</f>
        <v>1</v>
      </c>
      <c r="D29" s="19">
        <f>IFERROR(C29/(COUNTA(Log!A:A)-2),0)</f>
        <v>0.2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1:23" ht="18" customHeight="1" x14ac:dyDescent="0.25">
      <c r="A30" s="14"/>
      <c r="B30" s="7" t="s">
        <v>29</v>
      </c>
      <c r="C30" s="8">
        <f>COUNTIF(Log!G:G,"Interview Scheduled")</f>
        <v>1</v>
      </c>
      <c r="D30" s="18">
        <f>IFERROR(C30/(COUNTA(Log!A:A)-2),0)</f>
        <v>0.2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1:23" ht="18" customHeight="1" x14ac:dyDescent="0.25">
      <c r="A31" s="14"/>
      <c r="B31" s="11" t="s">
        <v>81</v>
      </c>
      <c r="C31" s="12">
        <f>COUNTIF(Log!G:G,"Interviewed")</f>
        <v>0</v>
      </c>
      <c r="D31" s="19">
        <f>IFERROR(C31/(COUNTA(Log!A:A)-2),0)</f>
        <v>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1:23" ht="18" customHeight="1" x14ac:dyDescent="0.25">
      <c r="A32" s="14"/>
      <c r="B32" s="7" t="s">
        <v>82</v>
      </c>
      <c r="C32" s="8">
        <f>COUNTIF(Log!G:G,"Offer")</f>
        <v>0</v>
      </c>
      <c r="D32" s="18">
        <f>IFERROR(C32/(COUNTA(Log!A:A)-2),0)</f>
        <v>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1:23" ht="18" customHeight="1" x14ac:dyDescent="0.25">
      <c r="A33" s="14"/>
      <c r="B33" s="11" t="s">
        <v>51</v>
      </c>
      <c r="C33" s="12">
        <f>COUNTIF(Log!G:G,"Rejected")</f>
        <v>1</v>
      </c>
      <c r="D33" s="19">
        <f>IFERROR(C33/(COUNTA(Log!A:A)-2),0)</f>
        <v>0.2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1:23" ht="18" customHeight="1" x14ac:dyDescent="0.25">
      <c r="A34" s="14"/>
      <c r="B34" s="7" t="s">
        <v>83</v>
      </c>
      <c r="C34" s="8">
        <f>COUNTIF(Log!G:G,"Closed / No Response")</f>
        <v>0</v>
      </c>
      <c r="D34" s="18">
        <f>IFERROR(C34/(COUNTA(Log!A:A)-2),0)</f>
        <v>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1:23" ht="18" customHeight="1" x14ac:dyDescent="0.25">
      <c r="A35" s="14"/>
      <c r="B35" s="20" t="s">
        <v>84</v>
      </c>
      <c r="C35" s="5">
        <f>COUNTA(Log!A:A)-2</f>
        <v>5</v>
      </c>
      <c r="D35" s="5" t="s">
        <v>85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1:23" ht="18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:23" ht="18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52" t="s">
        <v>86</v>
      </c>
      <c r="L37" s="52"/>
      <c r="M37" s="52"/>
      <c r="N37" s="52"/>
      <c r="O37" s="52"/>
      <c r="P37" s="52"/>
      <c r="Q37" s="52"/>
      <c r="R37" s="14"/>
      <c r="S37" s="14"/>
      <c r="T37" s="14"/>
      <c r="U37" s="14"/>
      <c r="V37" s="14"/>
      <c r="W37" s="14"/>
    </row>
    <row r="38" spans="1:23" ht="21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61" t="s">
        <v>87</v>
      </c>
      <c r="L38" s="61"/>
      <c r="M38" s="61"/>
      <c r="N38" s="61"/>
      <c r="O38" s="62" t="s">
        <v>88</v>
      </c>
      <c r="P38" s="62"/>
      <c r="Q38" s="62"/>
      <c r="R38" s="14"/>
      <c r="S38" s="14"/>
      <c r="T38" s="14"/>
      <c r="U38" s="14"/>
      <c r="V38" s="14"/>
      <c r="W38" s="14"/>
    </row>
    <row r="39" spans="1:23" ht="21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61" t="s">
        <v>89</v>
      </c>
      <c r="L39" s="61"/>
      <c r="M39" s="61"/>
      <c r="N39" s="61"/>
      <c r="O39" s="62" t="s">
        <v>90</v>
      </c>
      <c r="P39" s="62"/>
      <c r="Q39" s="62"/>
      <c r="R39" s="14"/>
      <c r="S39" s="14"/>
      <c r="T39" s="14"/>
      <c r="U39" s="14"/>
      <c r="V39" s="14"/>
      <c r="W39" s="14"/>
    </row>
    <row r="40" spans="1:23" ht="21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61" t="s">
        <v>91</v>
      </c>
      <c r="L40" s="61"/>
      <c r="M40" s="61"/>
      <c r="N40" s="61"/>
      <c r="O40" s="62" t="s">
        <v>92</v>
      </c>
      <c r="P40" s="62"/>
      <c r="Q40" s="62"/>
      <c r="R40" s="14"/>
      <c r="S40" s="14"/>
      <c r="T40" s="14"/>
      <c r="U40" s="14"/>
      <c r="V40" s="14"/>
      <c r="W40" s="14"/>
    </row>
    <row r="41" spans="1:23" ht="18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spans="1:23" ht="18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spans="1:23" ht="18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spans="1:23" ht="18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spans="1:23" ht="18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1:23" ht="18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spans="1:23" ht="18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spans="1:23" ht="18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1:23" ht="18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1:23" ht="18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spans="1:23" ht="18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1:23" ht="18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spans="1:23" ht="18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spans="1:23" ht="18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spans="1:23" ht="18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spans="1:23" ht="18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spans="1:23" ht="18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spans="1:23" ht="18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spans="1:23" ht="18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spans="1:23" ht="18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 spans="1:23" ht="18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spans="1:23" ht="18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spans="1:23" ht="18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spans="1:23" ht="18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spans="1:23" ht="18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spans="1:23" ht="18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spans="1:23" ht="18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 spans="1:23" ht="18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 spans="1:23" ht="18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 spans="1:23" ht="18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spans="1:23" ht="18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spans="1:23" ht="18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spans="1:23" ht="18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 spans="1:23" ht="18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spans="1:23" ht="18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spans="1:23" ht="18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spans="1:23" ht="18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spans="1:23" ht="18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spans="1:23" ht="18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</sheetData>
  <mergeCells count="35">
    <mergeCell ref="K40:N40"/>
    <mergeCell ref="O40:Q40"/>
    <mergeCell ref="K37:Q37"/>
    <mergeCell ref="K38:N38"/>
    <mergeCell ref="O38:Q38"/>
    <mergeCell ref="K39:N39"/>
    <mergeCell ref="O39:Q39"/>
    <mergeCell ref="B15:J15"/>
    <mergeCell ref="K15:M15"/>
    <mergeCell ref="N15:Q15"/>
    <mergeCell ref="B17:Q17"/>
    <mergeCell ref="B26:Q26"/>
    <mergeCell ref="B13:J13"/>
    <mergeCell ref="K13:M13"/>
    <mergeCell ref="N13:Q13"/>
    <mergeCell ref="B14:J14"/>
    <mergeCell ref="K14:M14"/>
    <mergeCell ref="N14:Q14"/>
    <mergeCell ref="B11:J11"/>
    <mergeCell ref="K11:M11"/>
    <mergeCell ref="N11:Q11"/>
    <mergeCell ref="B12:J12"/>
    <mergeCell ref="K12:M12"/>
    <mergeCell ref="N12:Q12"/>
    <mergeCell ref="B7:E7"/>
    <mergeCell ref="F7:I7"/>
    <mergeCell ref="J7:M7"/>
    <mergeCell ref="N7:Q7"/>
    <mergeCell ref="B10:Q10"/>
    <mergeCell ref="B2:N2"/>
    <mergeCell ref="B4:Q4"/>
    <mergeCell ref="B6:E6"/>
    <mergeCell ref="F6:I6"/>
    <mergeCell ref="J6:M6"/>
    <mergeCell ref="N6:Q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4F8A8B"/>
  </sheetPr>
  <dimension ref="A1:F44"/>
  <sheetViews>
    <sheetView zoomScaleNormal="100" workbookViewId="0">
      <selection activeCell="D12" sqref="D12"/>
    </sheetView>
  </sheetViews>
  <sheetFormatPr defaultColWidth="8.7109375" defaultRowHeight="15" x14ac:dyDescent="0.25"/>
  <cols>
    <col min="1" max="1" width="22" customWidth="1"/>
    <col min="2" max="2" width="16" customWidth="1"/>
    <col min="3" max="4" width="14" customWidth="1"/>
    <col min="5" max="6" width="12" customWidth="1"/>
  </cols>
  <sheetData>
    <row r="1" spans="1:6" ht="27.75" customHeight="1" x14ac:dyDescent="0.25">
      <c r="A1" s="50" t="s">
        <v>93</v>
      </c>
      <c r="B1" s="50"/>
      <c r="C1" s="50"/>
      <c r="D1" s="50"/>
      <c r="E1" s="50"/>
      <c r="F1" s="50"/>
    </row>
    <row r="2" spans="1:6" ht="36" customHeight="1" x14ac:dyDescent="0.25">
      <c r="A2" s="63" t="s">
        <v>94</v>
      </c>
      <c r="B2" s="63"/>
      <c r="C2" s="63"/>
      <c r="D2" s="63"/>
      <c r="E2" s="63"/>
      <c r="F2" s="63"/>
    </row>
    <row r="4" spans="1:6" ht="19.5" customHeight="1" x14ac:dyDescent="0.25">
      <c r="A4" s="52" t="s">
        <v>95</v>
      </c>
      <c r="B4" s="52"/>
      <c r="C4" s="52"/>
      <c r="D4" s="52"/>
      <c r="E4" s="52"/>
      <c r="F4" s="52"/>
    </row>
    <row r="5" spans="1:6" ht="19.5" customHeight="1" x14ac:dyDescent="0.25">
      <c r="A5" s="5" t="s">
        <v>96</v>
      </c>
      <c r="B5" s="5" t="s">
        <v>75</v>
      </c>
    </row>
    <row r="6" spans="1:6" ht="15" customHeight="1" x14ac:dyDescent="0.25">
      <c r="A6" s="21" t="s">
        <v>97</v>
      </c>
    </row>
    <row r="9" spans="1:6" ht="19.5" customHeight="1" x14ac:dyDescent="0.25">
      <c r="A9" s="52" t="s">
        <v>98</v>
      </c>
      <c r="B9" s="52"/>
      <c r="C9" s="52"/>
      <c r="D9" s="52"/>
      <c r="E9" s="52"/>
      <c r="F9" s="52"/>
    </row>
    <row r="10" spans="1:6" ht="19.5" customHeight="1" x14ac:dyDescent="0.25">
      <c r="A10" s="5" t="s">
        <v>17</v>
      </c>
      <c r="B10" s="5" t="s">
        <v>79</v>
      </c>
    </row>
    <row r="11" spans="1:6" ht="18" customHeight="1" x14ac:dyDescent="0.25">
      <c r="A11" s="22" t="s">
        <v>37</v>
      </c>
      <c r="B11" s="23">
        <f>COUNTIF(Log!G:G,"Applied")</f>
        <v>2</v>
      </c>
    </row>
    <row r="12" spans="1:6" ht="18" customHeight="1" x14ac:dyDescent="0.25">
      <c r="A12" s="24" t="s">
        <v>44</v>
      </c>
      <c r="B12" s="25">
        <f>COUNTIF(Log!G:G,"In Review")</f>
        <v>1</v>
      </c>
    </row>
    <row r="13" spans="1:6" ht="18" customHeight="1" x14ac:dyDescent="0.25">
      <c r="A13" s="22" t="s">
        <v>29</v>
      </c>
      <c r="B13" s="23">
        <f>COUNTIF(Log!G:G,"Interview Scheduled")</f>
        <v>1</v>
      </c>
    </row>
    <row r="14" spans="1:6" ht="18" customHeight="1" x14ac:dyDescent="0.25">
      <c r="A14" s="24" t="s">
        <v>81</v>
      </c>
      <c r="B14" s="25">
        <f>COUNTIF(Log!G:G,"Interviewed")</f>
        <v>0</v>
      </c>
    </row>
    <row r="15" spans="1:6" ht="18" customHeight="1" x14ac:dyDescent="0.25">
      <c r="A15" s="22" t="s">
        <v>82</v>
      </c>
      <c r="B15" s="23">
        <f>COUNTIF(Log!G:G,"Offer")</f>
        <v>0</v>
      </c>
    </row>
    <row r="16" spans="1:6" ht="18" customHeight="1" x14ac:dyDescent="0.25">
      <c r="A16" s="24" t="s">
        <v>51</v>
      </c>
      <c r="B16" s="25">
        <f>COUNTIF(Log!G:G,"Rejected")</f>
        <v>1</v>
      </c>
    </row>
    <row r="17" spans="1:6" ht="18" customHeight="1" x14ac:dyDescent="0.25">
      <c r="A17" s="22" t="s">
        <v>83</v>
      </c>
      <c r="B17" s="23">
        <f>COUNTIF(Log!G:G,"Closed / No Response")</f>
        <v>0</v>
      </c>
    </row>
    <row r="20" spans="1:6" ht="19.5" customHeight="1" x14ac:dyDescent="0.25">
      <c r="A20" s="52" t="s">
        <v>99</v>
      </c>
      <c r="B20" s="52"/>
      <c r="C20" s="52"/>
      <c r="D20" s="52"/>
      <c r="E20" s="52"/>
      <c r="F20" s="52"/>
    </row>
    <row r="21" spans="1:6" ht="19.5" customHeight="1" x14ac:dyDescent="0.25">
      <c r="A21" s="5" t="s">
        <v>74</v>
      </c>
      <c r="B21" s="5" t="s">
        <v>75</v>
      </c>
      <c r="C21" s="5" t="s">
        <v>76</v>
      </c>
      <c r="D21" s="5" t="s">
        <v>77</v>
      </c>
      <c r="E21" s="5" t="s">
        <v>100</v>
      </c>
      <c r="F21" s="5" t="s">
        <v>63</v>
      </c>
    </row>
    <row r="22" spans="1:6" ht="18" customHeight="1" x14ac:dyDescent="0.25">
      <c r="A22" s="26" t="s">
        <v>43</v>
      </c>
      <c r="B22" s="23">
        <f>COUNTIF(Log!F:F,"Master")</f>
        <v>1</v>
      </c>
      <c r="C22" s="23">
        <f>COUNTIFS(Log!F:F,"Master",Log!G:G,"Interview Scheduled")</f>
        <v>0</v>
      </c>
      <c r="D22" s="23">
        <f>COUNTIFS(Log!F:F,"Master",Log!G:G,"Offer")</f>
        <v>0</v>
      </c>
      <c r="E22" s="27">
        <f>IFERROR(C22/B22,0)</f>
        <v>0</v>
      </c>
      <c r="F22" s="27">
        <f>IFERROR(D22/B22,0)</f>
        <v>0</v>
      </c>
    </row>
    <row r="23" spans="1:6" ht="18" customHeight="1" x14ac:dyDescent="0.25">
      <c r="A23" s="28" t="s">
        <v>28</v>
      </c>
      <c r="B23" s="25">
        <f>COUNTIF(Log!F:F,"BI-Focused")</f>
        <v>1</v>
      </c>
      <c r="C23" s="25">
        <f>COUNTIFS(Log!F:F,"BI-Focused",Log!G:G,"Interview Scheduled")</f>
        <v>1</v>
      </c>
      <c r="D23" s="25">
        <f>COUNTIFS(Log!F:F,"BI-Focused",Log!G:G,"Offer")</f>
        <v>0</v>
      </c>
      <c r="E23" s="29">
        <f>IFERROR(C23/B23,0)</f>
        <v>1</v>
      </c>
      <c r="F23" s="29">
        <f>IFERROR(D23/B23,0)</f>
        <v>0</v>
      </c>
    </row>
    <row r="24" spans="1:6" ht="18" customHeight="1" x14ac:dyDescent="0.25">
      <c r="A24" s="26" t="s">
        <v>50</v>
      </c>
      <c r="B24" s="23">
        <f>COUNTIF(Log!F:F,"PM-Focused")</f>
        <v>1</v>
      </c>
      <c r="C24" s="23">
        <f>COUNTIFS(Log!F:F,"PM-Focused",Log!G:G,"Interview Scheduled")</f>
        <v>0</v>
      </c>
      <c r="D24" s="23">
        <f>COUNTIFS(Log!F:F,"PM-Focused",Log!G:G,"Offer")</f>
        <v>0</v>
      </c>
      <c r="E24" s="27">
        <f>IFERROR(C24/B24,0)</f>
        <v>0</v>
      </c>
      <c r="F24" s="27">
        <f>IFERROR(D24/B24,0)</f>
        <v>0</v>
      </c>
    </row>
    <row r="25" spans="1:6" ht="18" customHeight="1" x14ac:dyDescent="0.25">
      <c r="A25" s="28" t="s">
        <v>36</v>
      </c>
      <c r="B25" s="25">
        <f>COUNTIF(Log!F:F,"Ops-Focused")</f>
        <v>1</v>
      </c>
      <c r="C25" s="25">
        <f>COUNTIFS(Log!F:F,"Ops-Focused",Log!G:G,"Interview Scheduled")</f>
        <v>0</v>
      </c>
      <c r="D25" s="25">
        <f>COUNTIFS(Log!F:F,"Ops-Focused",Log!G:G,"Offer")</f>
        <v>0</v>
      </c>
      <c r="E25" s="29">
        <f>IFERROR(C25/B25,0)</f>
        <v>0</v>
      </c>
      <c r="F25" s="29">
        <f>IFERROR(D25/B25,0)</f>
        <v>0</v>
      </c>
    </row>
    <row r="26" spans="1:6" ht="18" customHeight="1" x14ac:dyDescent="0.25">
      <c r="A26" s="26" t="s">
        <v>56</v>
      </c>
      <c r="B26" s="23">
        <f>COUNTIF(Log!F:F,"Tailored Version")</f>
        <v>1</v>
      </c>
      <c r="C26" s="23">
        <f>COUNTIFS(Log!F:F,"Tailored Version",Log!G:G,"Interview Scheduled")</f>
        <v>0</v>
      </c>
      <c r="D26" s="23">
        <f>COUNTIFS(Log!F:F,"Tailored Version",Log!G:G,"Offer")</f>
        <v>0</v>
      </c>
      <c r="E26" s="27">
        <f>IFERROR(C26/B26,0)</f>
        <v>0</v>
      </c>
      <c r="F26" s="27">
        <f>IFERROR(D26/B26,0)</f>
        <v>0</v>
      </c>
    </row>
    <row r="30" spans="1:6" ht="19.5" customHeight="1" x14ac:dyDescent="0.25">
      <c r="A30" s="52" t="s">
        <v>101</v>
      </c>
      <c r="B30" s="52"/>
      <c r="C30" s="52"/>
      <c r="D30" s="52"/>
      <c r="E30" s="52"/>
      <c r="F30" s="52"/>
    </row>
    <row r="31" spans="1:6" ht="19.5" customHeight="1" x14ac:dyDescent="0.25">
      <c r="A31" s="5" t="s">
        <v>23</v>
      </c>
      <c r="B31" s="5" t="s">
        <v>79</v>
      </c>
    </row>
    <row r="32" spans="1:6" ht="15" customHeight="1" x14ac:dyDescent="0.25">
      <c r="A32" s="21" t="s">
        <v>102</v>
      </c>
    </row>
    <row r="35" spans="1:6" ht="19.5" customHeight="1" x14ac:dyDescent="0.25">
      <c r="A35" s="52" t="s">
        <v>103</v>
      </c>
      <c r="B35" s="52"/>
      <c r="C35" s="52"/>
      <c r="D35" s="52"/>
      <c r="E35" s="52"/>
      <c r="F35" s="52"/>
    </row>
    <row r="36" spans="1:6" ht="19.5" customHeight="1" x14ac:dyDescent="0.25">
      <c r="A36" s="5" t="s">
        <v>104</v>
      </c>
      <c r="B36" s="5" t="s">
        <v>105</v>
      </c>
      <c r="C36" s="5" t="s">
        <v>75</v>
      </c>
      <c r="D36" s="5" t="s">
        <v>76</v>
      </c>
      <c r="E36" s="5" t="s">
        <v>77</v>
      </c>
    </row>
    <row r="37" spans="1:6" ht="18" customHeight="1" x14ac:dyDescent="0.25">
      <c r="A37" s="30">
        <f ca="1">TODAY()-56</f>
        <v>46026</v>
      </c>
      <c r="B37" s="30">
        <f t="shared" ref="B37:B44" ca="1" si="0">A37+6</f>
        <v>46032</v>
      </c>
      <c r="C37" s="8">
        <f ca="1">COUNTIFS(Log!A:A,"&gt;="&amp;A37,Log!A:A,"&lt;="&amp;B37)</f>
        <v>0</v>
      </c>
      <c r="D37" s="8">
        <f ca="1">COUNTIFS(Log!A:A,"&gt;="&amp;A37,Log!A:A,"&lt;="&amp;B37,Log!G:G,"Interview Scheduled")</f>
        <v>0</v>
      </c>
      <c r="E37" s="8">
        <f ca="1">COUNTIFS(Log!A:A,"&gt;="&amp;A37,Log!A:A,"&lt;="&amp;B37,Log!G:G,"Offer")</f>
        <v>0</v>
      </c>
    </row>
    <row r="38" spans="1:6" ht="18" customHeight="1" x14ac:dyDescent="0.25">
      <c r="A38" s="31">
        <f ca="1">TODAY()-49</f>
        <v>46033</v>
      </c>
      <c r="B38" s="31">
        <f t="shared" ca="1" si="0"/>
        <v>46039</v>
      </c>
      <c r="C38" s="12">
        <f ca="1">COUNTIFS(Log!A:A,"&gt;="&amp;A38,Log!A:A,"&lt;="&amp;B38)</f>
        <v>0</v>
      </c>
      <c r="D38" s="12">
        <f ca="1">COUNTIFS(Log!A:A,"&gt;="&amp;A38,Log!A:A,"&lt;="&amp;B38,Log!G:G,"Interview Scheduled")</f>
        <v>0</v>
      </c>
      <c r="E38" s="12">
        <f ca="1">COUNTIFS(Log!A:A,"&gt;="&amp;A38,Log!A:A,"&lt;="&amp;B38,Log!G:G,"Offer")</f>
        <v>0</v>
      </c>
    </row>
    <row r="39" spans="1:6" ht="18" customHeight="1" x14ac:dyDescent="0.25">
      <c r="A39" s="30">
        <f ca="1">TODAY()-42</f>
        <v>46040</v>
      </c>
      <c r="B39" s="30">
        <f t="shared" ca="1" si="0"/>
        <v>46046</v>
      </c>
      <c r="C39" s="8">
        <f ca="1">COUNTIFS(Log!A:A,"&gt;="&amp;A39,Log!A:A,"&lt;="&amp;B39)</f>
        <v>0</v>
      </c>
      <c r="D39" s="8">
        <f ca="1">COUNTIFS(Log!A:A,"&gt;="&amp;A39,Log!A:A,"&lt;="&amp;B39,Log!G:G,"Interview Scheduled")</f>
        <v>0</v>
      </c>
      <c r="E39" s="8">
        <f ca="1">COUNTIFS(Log!A:A,"&gt;="&amp;A39,Log!A:A,"&lt;="&amp;B39,Log!G:G,"Offer")</f>
        <v>0</v>
      </c>
    </row>
    <row r="40" spans="1:6" ht="18" customHeight="1" x14ac:dyDescent="0.25">
      <c r="A40" s="31">
        <f ca="1">TODAY()-35</f>
        <v>46047</v>
      </c>
      <c r="B40" s="31">
        <f t="shared" ca="1" si="0"/>
        <v>46053</v>
      </c>
      <c r="C40" s="12">
        <f ca="1">COUNTIFS(Log!A:A,"&gt;="&amp;A40,Log!A:A,"&lt;="&amp;B40)</f>
        <v>0</v>
      </c>
      <c r="D40" s="12">
        <f ca="1">COUNTIFS(Log!A:A,"&gt;="&amp;A40,Log!A:A,"&lt;="&amp;B40,Log!G:G,"Interview Scheduled")</f>
        <v>0</v>
      </c>
      <c r="E40" s="12">
        <f ca="1">COUNTIFS(Log!A:A,"&gt;="&amp;A40,Log!A:A,"&lt;="&amp;B40,Log!G:G,"Offer")</f>
        <v>0</v>
      </c>
    </row>
    <row r="41" spans="1:6" ht="18" customHeight="1" x14ac:dyDescent="0.25">
      <c r="A41" s="30">
        <f ca="1">TODAY()-28</f>
        <v>46054</v>
      </c>
      <c r="B41" s="30">
        <f t="shared" ca="1" si="0"/>
        <v>46060</v>
      </c>
      <c r="C41" s="8">
        <f ca="1">COUNTIFS(Log!A:A,"&gt;="&amp;A41,Log!A:A,"&lt;="&amp;B41)</f>
        <v>0</v>
      </c>
      <c r="D41" s="8">
        <f ca="1">COUNTIFS(Log!A:A,"&gt;="&amp;A41,Log!A:A,"&lt;="&amp;B41,Log!G:G,"Interview Scheduled")</f>
        <v>0</v>
      </c>
      <c r="E41" s="8">
        <f ca="1">COUNTIFS(Log!A:A,"&gt;="&amp;A41,Log!A:A,"&lt;="&amp;B41,Log!G:G,"Offer")</f>
        <v>0</v>
      </c>
    </row>
    <row r="42" spans="1:6" ht="18" customHeight="1" x14ac:dyDescent="0.25">
      <c r="A42" s="31">
        <f ca="1">TODAY()-21</f>
        <v>46061</v>
      </c>
      <c r="B42" s="31">
        <f t="shared" ca="1" si="0"/>
        <v>46067</v>
      </c>
      <c r="C42" s="12">
        <f ca="1">COUNTIFS(Log!A:A,"&gt;="&amp;A42,Log!A:A,"&lt;="&amp;B42)</f>
        <v>3</v>
      </c>
      <c r="D42" s="12">
        <f ca="1">COUNTIFS(Log!A:A,"&gt;="&amp;A42,Log!A:A,"&lt;="&amp;B42,Log!G:G,"Interview Scheduled")</f>
        <v>1</v>
      </c>
      <c r="E42" s="12">
        <f ca="1">COUNTIFS(Log!A:A,"&gt;="&amp;A42,Log!A:A,"&lt;="&amp;B42,Log!G:G,"Offer")</f>
        <v>0</v>
      </c>
    </row>
    <row r="43" spans="1:6" ht="18" customHeight="1" x14ac:dyDescent="0.25">
      <c r="A43" s="30">
        <f ca="1">TODAY()-14</f>
        <v>46068</v>
      </c>
      <c r="B43" s="30">
        <f t="shared" ca="1" si="0"/>
        <v>46074</v>
      </c>
      <c r="C43" s="8">
        <f ca="1">COUNTIFS(Log!A:A,"&gt;="&amp;A43,Log!A:A,"&lt;="&amp;B43)</f>
        <v>2</v>
      </c>
      <c r="D43" s="8">
        <f ca="1">COUNTIFS(Log!A:A,"&gt;="&amp;A43,Log!A:A,"&lt;="&amp;B43,Log!G:G,"Interview Scheduled")</f>
        <v>0</v>
      </c>
      <c r="E43" s="8">
        <f ca="1">COUNTIFS(Log!A:A,"&gt;="&amp;A43,Log!A:A,"&lt;="&amp;B43,Log!G:G,"Offer")</f>
        <v>0</v>
      </c>
    </row>
    <row r="44" spans="1:6" ht="18" customHeight="1" x14ac:dyDescent="0.25">
      <c r="A44" s="31">
        <f ca="1">TODAY()-7</f>
        <v>46075</v>
      </c>
      <c r="B44" s="31">
        <f t="shared" ca="1" si="0"/>
        <v>46081</v>
      </c>
      <c r="C44" s="12">
        <f ca="1">COUNTIFS(Log!A:A,"&gt;="&amp;A44,Log!A:A,"&lt;="&amp;B44)</f>
        <v>0</v>
      </c>
      <c r="D44" s="12">
        <f ca="1">COUNTIFS(Log!A:A,"&gt;="&amp;A44,Log!A:A,"&lt;="&amp;B44,Log!G:G,"Interview Scheduled")</f>
        <v>0</v>
      </c>
      <c r="E44" s="12">
        <f ca="1">COUNTIFS(Log!A:A,"&gt;="&amp;A44,Log!A:A,"&lt;="&amp;B44,Log!G:G,"Offer")</f>
        <v>0</v>
      </c>
    </row>
  </sheetData>
  <mergeCells count="7">
    <mergeCell ref="A30:F30"/>
    <mergeCell ref="A35:F35"/>
    <mergeCell ref="A1:F1"/>
    <mergeCell ref="A2:F2"/>
    <mergeCell ref="A4:F4"/>
    <mergeCell ref="A9:F9"/>
    <mergeCell ref="A20:F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E8C07D"/>
  </sheetPr>
  <dimension ref="A1:D24"/>
  <sheetViews>
    <sheetView zoomScaleNormal="100" workbookViewId="0">
      <selection sqref="A1:D1"/>
    </sheetView>
  </sheetViews>
  <sheetFormatPr defaultColWidth="8.7109375" defaultRowHeight="15" x14ac:dyDescent="0.25"/>
  <cols>
    <col min="1" max="1" width="14" customWidth="1"/>
    <col min="2" max="2" width="55" customWidth="1"/>
    <col min="3" max="3" width="18" customWidth="1"/>
    <col min="4" max="4" width="10" customWidth="1"/>
  </cols>
  <sheetData>
    <row r="1" spans="1:4" ht="27.75" customHeight="1" x14ac:dyDescent="0.25">
      <c r="A1" s="50" t="s">
        <v>106</v>
      </c>
      <c r="B1" s="50"/>
      <c r="C1" s="50"/>
      <c r="D1" s="50"/>
    </row>
    <row r="2" spans="1:4" ht="31.5" customHeight="1" x14ac:dyDescent="0.25">
      <c r="A2" s="64" t="s">
        <v>107</v>
      </c>
      <c r="B2" s="64"/>
      <c r="C2" s="64"/>
      <c r="D2" s="64"/>
    </row>
    <row r="3" spans="1:4" ht="21.75" customHeight="1" x14ac:dyDescent="0.25">
      <c r="A3" s="5" t="s">
        <v>108</v>
      </c>
      <c r="B3" s="5" t="s">
        <v>109</v>
      </c>
      <c r="C3" s="5" t="s">
        <v>110</v>
      </c>
      <c r="D3" s="5" t="s">
        <v>111</v>
      </c>
    </row>
    <row r="4" spans="1:4" ht="15.75" customHeight="1" x14ac:dyDescent="0.25">
      <c r="A4" s="32">
        <f>IF(Log!A3="","",Log!A3)</f>
        <v>46063</v>
      </c>
      <c r="B4" s="33" t="str">
        <f>"Applied: "&amp;Log!C3&amp;" at "&amp;Log!B3</f>
        <v>Applied: Sr. Business Analyst at Acme Corp</v>
      </c>
      <c r="C4" s="34" t="s">
        <v>37</v>
      </c>
      <c r="D4" s="34">
        <v>1</v>
      </c>
    </row>
    <row r="5" spans="1:4" ht="15.75" customHeight="1" x14ac:dyDescent="0.25">
      <c r="A5" s="35">
        <f>IF(Log!H3="","",Log!H3)</f>
        <v>46068</v>
      </c>
      <c r="B5" s="36" t="str">
        <f>"Follow-Up: "&amp;Log!C3&amp;" at "&amp;Log!B3</f>
        <v>Follow-Up: Sr. Business Analyst at Acme Corp</v>
      </c>
      <c r="C5" s="37" t="s">
        <v>112</v>
      </c>
      <c r="D5" s="37">
        <v>1</v>
      </c>
    </row>
    <row r="6" spans="1:4" ht="15.75" customHeight="1" x14ac:dyDescent="0.25">
      <c r="A6" s="32">
        <f>IF(Log!J3="","",Log!J3)</f>
        <v>46073</v>
      </c>
      <c r="B6" s="33" t="str">
        <f>"Interview: "&amp;Log!C3&amp;" at "&amp;Log!B3</f>
        <v>Interview: Sr. Business Analyst at Acme Corp</v>
      </c>
      <c r="C6" s="34" t="s">
        <v>113</v>
      </c>
      <c r="D6" s="34">
        <v>1</v>
      </c>
    </row>
    <row r="7" spans="1:4" ht="15.75" customHeight="1" x14ac:dyDescent="0.25">
      <c r="A7" s="35" t="str">
        <f>IF(Log!K3&lt;&gt;"",Log!J3,"")</f>
        <v/>
      </c>
      <c r="B7" s="36" t="str">
        <f>IF(Log!K3&lt;&gt;"","Outcome: "&amp;Log!C3&amp;" at "&amp;Log!B3,"")</f>
        <v/>
      </c>
      <c r="C7" s="37" t="s">
        <v>21</v>
      </c>
      <c r="D7" s="37">
        <v>1</v>
      </c>
    </row>
    <row r="8" spans="1:4" ht="15.75" customHeight="1" x14ac:dyDescent="0.25">
      <c r="A8" s="32">
        <f>IF(Log!A4="","",Log!A4)</f>
        <v>46065</v>
      </c>
      <c r="B8" s="33" t="str">
        <f>"Applied: "&amp;Log!C4&amp;" at "&amp;Log!B4</f>
        <v>Applied: Operations Manager at Globex Inc</v>
      </c>
      <c r="C8" s="34" t="s">
        <v>37</v>
      </c>
      <c r="D8" s="34">
        <v>1</v>
      </c>
    </row>
    <row r="9" spans="1:4" ht="15.75" customHeight="1" x14ac:dyDescent="0.25">
      <c r="A9" s="35">
        <f>IF(Log!H4="","",Log!H4)</f>
        <v>46070</v>
      </c>
      <c r="B9" s="36" t="str">
        <f>"Follow-Up: "&amp;Log!C4&amp;" at "&amp;Log!B4</f>
        <v>Follow-Up: Operations Manager at Globex Inc</v>
      </c>
      <c r="C9" s="37" t="s">
        <v>112</v>
      </c>
      <c r="D9" s="37">
        <v>1</v>
      </c>
    </row>
    <row r="10" spans="1:4" ht="15.75" customHeight="1" x14ac:dyDescent="0.25">
      <c r="A10" s="32" t="str">
        <f>IF(Log!J4="","",Log!J4)</f>
        <v/>
      </c>
      <c r="B10" s="33" t="str">
        <f>"Interview: "&amp;Log!C4&amp;" at "&amp;Log!B4</f>
        <v>Interview: Operations Manager at Globex Inc</v>
      </c>
      <c r="C10" s="34" t="s">
        <v>113</v>
      </c>
      <c r="D10" s="34">
        <v>1</v>
      </c>
    </row>
    <row r="11" spans="1:4" ht="15.75" customHeight="1" x14ac:dyDescent="0.25">
      <c r="A11" s="35" t="str">
        <f>IF(Log!K4&lt;&gt;"",Log!J4,"")</f>
        <v/>
      </c>
      <c r="B11" s="36" t="str">
        <f>IF(Log!K4&lt;&gt;"","Outcome: "&amp;Log!C4&amp;" at "&amp;Log!B4,"")</f>
        <v/>
      </c>
      <c r="C11" s="37" t="s">
        <v>21</v>
      </c>
      <c r="D11" s="37">
        <v>1</v>
      </c>
    </row>
    <row r="12" spans="1:4" ht="15.75" customHeight="1" x14ac:dyDescent="0.25">
      <c r="A12" s="32">
        <f>IF(Log!A5="","",Log!A5)</f>
        <v>46067</v>
      </c>
      <c r="B12" s="33" t="str">
        <f>"Applied: "&amp;Log!C5&amp;" at "&amp;Log!B5</f>
        <v>Applied: Data Analyst at Initech LLC</v>
      </c>
      <c r="C12" s="34" t="s">
        <v>37</v>
      </c>
      <c r="D12" s="34">
        <v>1</v>
      </c>
    </row>
    <row r="13" spans="1:4" ht="15.75" customHeight="1" x14ac:dyDescent="0.25">
      <c r="A13" s="35">
        <f>IF(Log!H5="","",Log!H5)</f>
        <v>46072</v>
      </c>
      <c r="B13" s="36" t="str">
        <f>"Follow-Up: "&amp;Log!C5&amp;" at "&amp;Log!B5</f>
        <v>Follow-Up: Data Analyst at Initech LLC</v>
      </c>
      <c r="C13" s="37" t="s">
        <v>112</v>
      </c>
      <c r="D13" s="37">
        <v>1</v>
      </c>
    </row>
    <row r="14" spans="1:4" ht="15.75" customHeight="1" x14ac:dyDescent="0.25">
      <c r="A14" s="32" t="str">
        <f>IF(Log!J5="","",Log!J5)</f>
        <v/>
      </c>
      <c r="B14" s="33" t="str">
        <f>"Interview: "&amp;Log!C5&amp;" at "&amp;Log!B5</f>
        <v>Interview: Data Analyst at Initech LLC</v>
      </c>
      <c r="C14" s="34" t="s">
        <v>113</v>
      </c>
      <c r="D14" s="34">
        <v>1</v>
      </c>
    </row>
    <row r="15" spans="1:4" ht="15.75" customHeight="1" x14ac:dyDescent="0.25">
      <c r="A15" s="35" t="str">
        <f>IF(Log!K5&lt;&gt;"",Log!J5,"")</f>
        <v/>
      </c>
      <c r="B15" s="36" t="str">
        <f>IF(Log!K5&lt;&gt;"","Outcome: "&amp;Log!C5&amp;" at "&amp;Log!B5,"")</f>
        <v/>
      </c>
      <c r="C15" s="37" t="s">
        <v>21</v>
      </c>
      <c r="D15" s="37">
        <v>1</v>
      </c>
    </row>
    <row r="16" spans="1:4" ht="15.75" customHeight="1" x14ac:dyDescent="0.25">
      <c r="A16" s="32">
        <f>IF(Log!A6="","",Log!A6)</f>
        <v>46070</v>
      </c>
      <c r="B16" s="33" t="str">
        <f>"Applied: "&amp;Log!C6&amp;" at "&amp;Log!B6</f>
        <v>Applied: Project Manager at Umbrella Co</v>
      </c>
      <c r="C16" s="34" t="s">
        <v>37</v>
      </c>
      <c r="D16" s="34">
        <v>1</v>
      </c>
    </row>
    <row r="17" spans="1:4" ht="15.75" customHeight="1" x14ac:dyDescent="0.25">
      <c r="A17" s="35">
        <f>IF(Log!H6="","",Log!H6)</f>
        <v>46075</v>
      </c>
      <c r="B17" s="36" t="str">
        <f>"Follow-Up: "&amp;Log!C6&amp;" at "&amp;Log!B6</f>
        <v>Follow-Up: Project Manager at Umbrella Co</v>
      </c>
      <c r="C17" s="37" t="s">
        <v>112</v>
      </c>
      <c r="D17" s="37">
        <v>1</v>
      </c>
    </row>
    <row r="18" spans="1:4" ht="15.75" customHeight="1" x14ac:dyDescent="0.25">
      <c r="A18" s="32" t="str">
        <f>IF(Log!J6="","",Log!J6)</f>
        <v/>
      </c>
      <c r="B18" s="33" t="str">
        <f>"Interview: "&amp;Log!C6&amp;" at "&amp;Log!B6</f>
        <v>Interview: Project Manager at Umbrella Co</v>
      </c>
      <c r="C18" s="34" t="s">
        <v>113</v>
      </c>
      <c r="D18" s="34">
        <v>1</v>
      </c>
    </row>
    <row r="19" spans="1:4" ht="15.75" customHeight="1" x14ac:dyDescent="0.25">
      <c r="A19" s="35">
        <f>IF(Log!K6&lt;&gt;"",Log!J6,"")</f>
        <v>0</v>
      </c>
      <c r="B19" s="36" t="str">
        <f>IF(Log!K6&lt;&gt;"","Outcome: "&amp;Log!C6&amp;" at "&amp;Log!B6,"")</f>
        <v>Outcome: Project Manager at Umbrella Co</v>
      </c>
      <c r="C19" s="37" t="s">
        <v>21</v>
      </c>
      <c r="D19" s="37">
        <v>1</v>
      </c>
    </row>
    <row r="20" spans="1:4" ht="15.75" customHeight="1" x14ac:dyDescent="0.25">
      <c r="A20" s="32">
        <f>IF(Log!A7="","",Log!A7)</f>
        <v>46073</v>
      </c>
      <c r="B20" s="33" t="str">
        <f>"Applied: "&amp;Log!C7&amp;" at "&amp;Log!B7</f>
        <v>Applied: Analytics Lead at Stark Industries</v>
      </c>
      <c r="C20" s="34" t="s">
        <v>37</v>
      </c>
      <c r="D20" s="34">
        <v>1</v>
      </c>
    </row>
    <row r="21" spans="1:4" ht="15.75" customHeight="1" x14ac:dyDescent="0.25">
      <c r="A21" s="35">
        <f>IF(Log!H7="","",Log!H7)</f>
        <v>46078</v>
      </c>
      <c r="B21" s="36" t="str">
        <f>"Follow-Up: "&amp;Log!C7&amp;" at "&amp;Log!B7</f>
        <v>Follow-Up: Analytics Lead at Stark Industries</v>
      </c>
      <c r="C21" s="37" t="s">
        <v>112</v>
      </c>
      <c r="D21" s="37">
        <v>1</v>
      </c>
    </row>
    <row r="22" spans="1:4" ht="15.75" customHeight="1" x14ac:dyDescent="0.25">
      <c r="A22" s="32" t="str">
        <f>IF(Log!J7="","",Log!J7)</f>
        <v/>
      </c>
      <c r="B22" s="33" t="str">
        <f>"Interview: "&amp;Log!C7&amp;" at "&amp;Log!B7</f>
        <v>Interview: Analytics Lead at Stark Industries</v>
      </c>
      <c r="C22" s="34" t="s">
        <v>113</v>
      </c>
      <c r="D22" s="34">
        <v>1</v>
      </c>
    </row>
    <row r="23" spans="1:4" ht="15.75" customHeight="1" x14ac:dyDescent="0.25">
      <c r="A23" s="35" t="str">
        <f>IF(Log!K7&lt;&gt;"",Log!J7,"")</f>
        <v/>
      </c>
      <c r="B23" s="36" t="str">
        <f>IF(Log!K7&lt;&gt;"","Outcome: "&amp;Log!C7&amp;" at "&amp;Log!B7,"")</f>
        <v/>
      </c>
      <c r="C23" s="37" t="s">
        <v>21</v>
      </c>
      <c r="D23" s="37">
        <v>1</v>
      </c>
    </row>
    <row r="24" spans="1:4" ht="15.75" customHeight="1" x14ac:dyDescent="0.25">
      <c r="A24" s="65" t="s">
        <v>114</v>
      </c>
      <c r="B24" s="65"/>
      <c r="C24" s="65"/>
      <c r="D24" s="65"/>
    </row>
  </sheetData>
  <mergeCells count="3">
    <mergeCell ref="A1:D1"/>
    <mergeCell ref="A2:D2"/>
    <mergeCell ref="A24:D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C97A7A"/>
  </sheetPr>
  <dimension ref="A1:K64"/>
  <sheetViews>
    <sheetView zoomScaleNormal="100" workbookViewId="0">
      <selection sqref="A1:K1"/>
    </sheetView>
  </sheetViews>
  <sheetFormatPr defaultColWidth="8.7109375" defaultRowHeight="15" x14ac:dyDescent="0.25"/>
  <cols>
    <col min="1" max="1" width="24" customWidth="1"/>
    <col min="2" max="2" width="16" customWidth="1"/>
    <col min="3" max="3" width="10" customWidth="1"/>
    <col min="4" max="4" width="14" customWidth="1"/>
    <col min="5" max="6" width="16" customWidth="1"/>
    <col min="7" max="7" width="12" customWidth="1"/>
    <col min="8" max="8" width="14" customWidth="1"/>
    <col min="9" max="9" width="20" customWidth="1"/>
    <col min="10" max="10" width="16" customWidth="1"/>
    <col min="11" max="11" width="10" customWidth="1"/>
  </cols>
  <sheetData>
    <row r="1" spans="1:11" ht="27.75" customHeight="1" x14ac:dyDescent="0.25">
      <c r="A1" s="50" t="s">
        <v>115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3" spans="1:11" ht="19.5" customHeight="1" x14ac:dyDescent="0.25">
      <c r="A3" s="52" t="s">
        <v>116</v>
      </c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90" customHeight="1" x14ac:dyDescent="0.25">
      <c r="A4" s="66" t="s">
        <v>117</v>
      </c>
      <c r="B4" s="66"/>
      <c r="C4" s="66"/>
      <c r="D4" s="66"/>
      <c r="E4" s="66"/>
      <c r="F4" s="66"/>
      <c r="G4" s="66"/>
      <c r="H4" s="66"/>
      <c r="I4" s="66"/>
      <c r="J4" s="66"/>
      <c r="K4" s="66"/>
    </row>
    <row r="6" spans="1:11" ht="19.5" customHeight="1" x14ac:dyDescent="0.25">
      <c r="A6" s="52" t="s">
        <v>118</v>
      </c>
      <c r="B6" s="52"/>
      <c r="C6" s="52"/>
      <c r="E6" s="52" t="s">
        <v>119</v>
      </c>
      <c r="F6" s="52"/>
      <c r="H6" s="52" t="s">
        <v>120</v>
      </c>
      <c r="I6" s="52"/>
      <c r="J6" s="52"/>
      <c r="K6" s="52"/>
    </row>
    <row r="7" spans="1:11" ht="19.5" customHeight="1" x14ac:dyDescent="0.25">
      <c r="A7" s="5" t="s">
        <v>121</v>
      </c>
      <c r="B7" s="5" t="s">
        <v>122</v>
      </c>
      <c r="C7" s="5" t="s">
        <v>123</v>
      </c>
      <c r="E7" s="5" t="s">
        <v>121</v>
      </c>
      <c r="F7" s="5" t="s">
        <v>122</v>
      </c>
      <c r="H7" s="5" t="s">
        <v>121</v>
      </c>
      <c r="I7" s="5" t="s">
        <v>122</v>
      </c>
      <c r="J7" s="5" t="s">
        <v>123</v>
      </c>
    </row>
    <row r="8" spans="1:11" ht="15.75" customHeight="1" x14ac:dyDescent="0.25">
      <c r="A8" s="7" t="s">
        <v>124</v>
      </c>
      <c r="B8" s="8" t="s">
        <v>125</v>
      </c>
      <c r="C8" s="8">
        <v>5</v>
      </c>
      <c r="E8" s="7" t="s">
        <v>124</v>
      </c>
      <c r="F8" s="8" t="s">
        <v>125</v>
      </c>
      <c r="H8" s="7" t="s">
        <v>124</v>
      </c>
      <c r="I8" s="8" t="s">
        <v>125</v>
      </c>
      <c r="J8" s="8">
        <v>5</v>
      </c>
    </row>
    <row r="9" spans="1:11" ht="15.75" customHeight="1" x14ac:dyDescent="0.25">
      <c r="A9" s="11" t="s">
        <v>126</v>
      </c>
      <c r="B9" s="12" t="s">
        <v>127</v>
      </c>
      <c r="C9" s="12">
        <v>5</v>
      </c>
      <c r="E9" s="11" t="s">
        <v>126</v>
      </c>
      <c r="F9" s="12" t="s">
        <v>127</v>
      </c>
      <c r="H9" s="11" t="s">
        <v>126</v>
      </c>
      <c r="I9" s="12" t="s">
        <v>127</v>
      </c>
      <c r="J9" s="12">
        <v>5</v>
      </c>
    </row>
    <row r="10" spans="1:11" ht="15.75" customHeight="1" x14ac:dyDescent="0.25">
      <c r="A10" s="7" t="s">
        <v>128</v>
      </c>
      <c r="B10" s="8" t="s">
        <v>127</v>
      </c>
      <c r="C10" s="8">
        <v>5</v>
      </c>
      <c r="E10" s="7" t="s">
        <v>128</v>
      </c>
      <c r="F10" s="8" t="s">
        <v>127</v>
      </c>
      <c r="H10" s="7" t="s">
        <v>128</v>
      </c>
      <c r="I10" s="8" t="s">
        <v>127</v>
      </c>
      <c r="J10" s="8">
        <v>4</v>
      </c>
    </row>
    <row r="11" spans="1:11" ht="15.75" customHeight="1" x14ac:dyDescent="0.25">
      <c r="A11" s="11" t="s">
        <v>129</v>
      </c>
      <c r="B11" s="12" t="s">
        <v>127</v>
      </c>
      <c r="C11" s="12">
        <v>4</v>
      </c>
      <c r="E11" s="11" t="s">
        <v>130</v>
      </c>
      <c r="F11" s="12" t="s">
        <v>125</v>
      </c>
      <c r="H11" s="11" t="s">
        <v>131</v>
      </c>
      <c r="I11" s="12" t="s">
        <v>127</v>
      </c>
      <c r="J11" s="12">
        <v>4</v>
      </c>
    </row>
    <row r="12" spans="1:11" ht="15.75" customHeight="1" x14ac:dyDescent="0.25">
      <c r="A12" s="7" t="s">
        <v>130</v>
      </c>
      <c r="B12" s="8" t="s">
        <v>125</v>
      </c>
      <c r="C12" s="8">
        <v>4</v>
      </c>
      <c r="E12" s="7" t="s">
        <v>129</v>
      </c>
      <c r="F12" s="8" t="s">
        <v>127</v>
      </c>
      <c r="H12" s="7" t="s">
        <v>129</v>
      </c>
      <c r="I12" s="8" t="s">
        <v>127</v>
      </c>
      <c r="J12" s="8">
        <v>5</v>
      </c>
    </row>
    <row r="13" spans="1:11" ht="15.75" customHeight="1" x14ac:dyDescent="0.25">
      <c r="A13" s="11" t="s">
        <v>131</v>
      </c>
      <c r="B13" s="12" t="s">
        <v>127</v>
      </c>
      <c r="C13" s="12">
        <v>4</v>
      </c>
      <c r="E13" s="11" t="s">
        <v>132</v>
      </c>
      <c r="F13" s="12" t="s">
        <v>133</v>
      </c>
      <c r="H13" s="11" t="s">
        <v>132</v>
      </c>
      <c r="I13" s="12" t="s">
        <v>133</v>
      </c>
      <c r="J13" s="12">
        <v>5</v>
      </c>
    </row>
    <row r="14" spans="1:11" ht="15.75" customHeight="1" x14ac:dyDescent="0.25">
      <c r="A14" s="7" t="s">
        <v>134</v>
      </c>
      <c r="B14" s="8" t="s">
        <v>125</v>
      </c>
      <c r="C14" s="8">
        <v>3</v>
      </c>
      <c r="E14" s="7" t="s">
        <v>135</v>
      </c>
      <c r="F14" s="8" t="s">
        <v>127</v>
      </c>
      <c r="H14" s="7" t="s">
        <v>136</v>
      </c>
      <c r="I14" s="8" t="s">
        <v>127</v>
      </c>
      <c r="J14" s="8">
        <v>3</v>
      </c>
    </row>
    <row r="15" spans="1:11" ht="15.75" customHeight="1" x14ac:dyDescent="0.25">
      <c r="A15" s="11" t="s">
        <v>137</v>
      </c>
      <c r="B15" s="12" t="s">
        <v>133</v>
      </c>
      <c r="C15" s="12">
        <v>4</v>
      </c>
      <c r="E15" s="11" t="s">
        <v>137</v>
      </c>
      <c r="F15" s="12" t="s">
        <v>133</v>
      </c>
      <c r="H15" s="11" t="s">
        <v>137</v>
      </c>
      <c r="I15" s="12" t="s">
        <v>133</v>
      </c>
      <c r="J15" s="12">
        <v>3</v>
      </c>
    </row>
    <row r="16" spans="1:11" ht="15.75" customHeight="1" x14ac:dyDescent="0.25">
      <c r="A16" s="7" t="s">
        <v>138</v>
      </c>
      <c r="B16" s="8" t="s">
        <v>139</v>
      </c>
      <c r="C16" s="8">
        <v>3</v>
      </c>
      <c r="E16" s="7" t="s">
        <v>138</v>
      </c>
      <c r="F16" s="8" t="s">
        <v>139</v>
      </c>
      <c r="H16" s="7" t="s">
        <v>140</v>
      </c>
      <c r="I16" s="8" t="s">
        <v>139</v>
      </c>
      <c r="J16" s="8">
        <v>3</v>
      </c>
    </row>
    <row r="17" spans="1:11" ht="15.75" customHeight="1" x14ac:dyDescent="0.25">
      <c r="A17" s="11" t="s">
        <v>141</v>
      </c>
      <c r="B17" s="12" t="s">
        <v>133</v>
      </c>
      <c r="C17" s="12">
        <v>4</v>
      </c>
      <c r="E17" s="11" t="s">
        <v>141</v>
      </c>
      <c r="F17" s="12" t="s">
        <v>133</v>
      </c>
      <c r="H17" s="11" t="s">
        <v>142</v>
      </c>
      <c r="I17" s="12" t="s">
        <v>133</v>
      </c>
      <c r="J17" s="12">
        <v>2</v>
      </c>
    </row>
    <row r="18" spans="1:11" ht="15.75" customHeight="1" x14ac:dyDescent="0.25">
      <c r="A18" s="7" t="s">
        <v>140</v>
      </c>
      <c r="B18" s="8" t="s">
        <v>139</v>
      </c>
      <c r="C18" s="8">
        <v>3</v>
      </c>
      <c r="E18" s="7" t="s">
        <v>140</v>
      </c>
      <c r="F18" s="8" t="s">
        <v>139</v>
      </c>
      <c r="H18" s="7" t="s">
        <v>143</v>
      </c>
      <c r="I18" s="8" t="s">
        <v>127</v>
      </c>
      <c r="J18" s="8">
        <v>3</v>
      </c>
    </row>
    <row r="19" spans="1:11" ht="15.75" customHeight="1" x14ac:dyDescent="0.25">
      <c r="A19" s="11" t="s">
        <v>142</v>
      </c>
      <c r="B19" s="12" t="s">
        <v>133</v>
      </c>
      <c r="C19" s="12">
        <v>3</v>
      </c>
      <c r="E19" s="11" t="s">
        <v>144</v>
      </c>
      <c r="F19" s="12" t="s">
        <v>139</v>
      </c>
      <c r="H19" s="11" t="s">
        <v>135</v>
      </c>
      <c r="I19" s="12" t="s">
        <v>127</v>
      </c>
      <c r="J19" s="12">
        <v>4</v>
      </c>
    </row>
    <row r="20" spans="1:11" ht="15.75" customHeight="1" x14ac:dyDescent="0.25">
      <c r="A20" s="7" t="s">
        <v>132</v>
      </c>
      <c r="B20" s="8" t="s">
        <v>133</v>
      </c>
      <c r="C20" s="8">
        <v>5</v>
      </c>
      <c r="E20" s="7" t="s">
        <v>142</v>
      </c>
      <c r="F20" s="8" t="s">
        <v>133</v>
      </c>
    </row>
    <row r="21" spans="1:11" ht="15.75" customHeight="1" x14ac:dyDescent="0.25">
      <c r="A21" s="11" t="s">
        <v>135</v>
      </c>
      <c r="B21" s="12" t="s">
        <v>127</v>
      </c>
      <c r="C21" s="12">
        <v>4</v>
      </c>
      <c r="E21" s="11" t="s">
        <v>145</v>
      </c>
      <c r="F21" s="12" t="s">
        <v>133</v>
      </c>
    </row>
    <row r="22" spans="1:11" ht="15.75" customHeight="1" x14ac:dyDescent="0.25">
      <c r="A22" s="7" t="s">
        <v>143</v>
      </c>
      <c r="B22" s="8" t="s">
        <v>127</v>
      </c>
      <c r="C22" s="8">
        <v>3</v>
      </c>
      <c r="E22" s="7" t="s">
        <v>146</v>
      </c>
      <c r="F22" s="8" t="s">
        <v>139</v>
      </c>
    </row>
    <row r="23" spans="1:11" ht="15.75" customHeight="1" x14ac:dyDescent="0.25">
      <c r="A23" s="11" t="s">
        <v>136</v>
      </c>
      <c r="B23" s="12" t="s">
        <v>127</v>
      </c>
      <c r="C23" s="12">
        <v>3</v>
      </c>
    </row>
    <row r="24" spans="1:11" ht="15.75" customHeight="1" x14ac:dyDescent="0.25">
      <c r="A24" s="7" t="s">
        <v>147</v>
      </c>
      <c r="B24" s="8" t="s">
        <v>127</v>
      </c>
      <c r="C24" s="8">
        <v>2</v>
      </c>
    </row>
    <row r="25" spans="1:11" ht="15.75" customHeight="1" x14ac:dyDescent="0.25">
      <c r="A25" s="11" t="s">
        <v>146</v>
      </c>
      <c r="B25" s="12" t="s">
        <v>139</v>
      </c>
      <c r="C25" s="12">
        <v>3</v>
      </c>
    </row>
    <row r="26" spans="1:11" ht="15.75" customHeight="1" x14ac:dyDescent="0.25">
      <c r="A26" s="7" t="s">
        <v>144</v>
      </c>
      <c r="B26" s="8" t="s">
        <v>139</v>
      </c>
      <c r="C26" s="8">
        <v>4</v>
      </c>
    </row>
    <row r="27" spans="1:11" ht="15.75" customHeight="1" x14ac:dyDescent="0.25">
      <c r="A27" s="11" t="s">
        <v>145</v>
      </c>
      <c r="B27" s="12" t="s">
        <v>133</v>
      </c>
      <c r="C27" s="12">
        <v>3</v>
      </c>
    </row>
    <row r="30" spans="1:11" ht="19.5" customHeight="1" x14ac:dyDescent="0.25">
      <c r="A30" s="52" t="s">
        <v>148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</row>
    <row r="31" spans="1:11" ht="21.75" customHeight="1" x14ac:dyDescent="0.25">
      <c r="A31" s="5" t="s">
        <v>121</v>
      </c>
      <c r="B31" s="5" t="s">
        <v>122</v>
      </c>
      <c r="C31" s="5" t="s">
        <v>123</v>
      </c>
      <c r="D31" s="5" t="s">
        <v>149</v>
      </c>
      <c r="E31" s="5" t="s">
        <v>150</v>
      </c>
      <c r="F31" s="5" t="s">
        <v>151</v>
      </c>
      <c r="G31" s="5" t="s">
        <v>152</v>
      </c>
      <c r="H31" s="5" t="s">
        <v>153</v>
      </c>
    </row>
    <row r="32" spans="1:11" ht="15.75" customHeight="1" x14ac:dyDescent="0.25">
      <c r="A32" s="7" t="s">
        <v>124</v>
      </c>
      <c r="B32" s="8" t="s">
        <v>125</v>
      </c>
      <c r="C32" s="8">
        <v>5</v>
      </c>
      <c r="D32" s="8">
        <f>IF(COUNTIF(ResumeSkills[Skill],A32)&gt;0,1,0)</f>
        <v>1</v>
      </c>
      <c r="E32" s="8">
        <f t="shared" ref="E32:E43" si="0">C32*D32</f>
        <v>5</v>
      </c>
      <c r="F32" s="8">
        <f t="shared" ref="F32:F43" si="1">IF(D32=1,0,C32)</f>
        <v>0</v>
      </c>
      <c r="G32" s="8">
        <f t="shared" ref="G32:G43" si="2">IFERROR(RANK(F32,$F$32:$F$43,0),"")</f>
        <v>4</v>
      </c>
      <c r="H32" s="8">
        <f t="shared" ref="H32:H43" si="3">IFERROR(RANK(E32,$E$32:$E$43,0),"")</f>
        <v>1</v>
      </c>
    </row>
    <row r="33" spans="1:8" ht="15.75" customHeight="1" x14ac:dyDescent="0.25">
      <c r="A33" s="11" t="s">
        <v>126</v>
      </c>
      <c r="B33" s="12" t="s">
        <v>127</v>
      </c>
      <c r="C33" s="12">
        <v>5</v>
      </c>
      <c r="D33" s="12">
        <f>IF(COUNTIF(ResumeSkills[Skill],A33)&gt;0,1,0)</f>
        <v>1</v>
      </c>
      <c r="E33" s="12">
        <f t="shared" si="0"/>
        <v>5</v>
      </c>
      <c r="F33" s="12">
        <f t="shared" si="1"/>
        <v>0</v>
      </c>
      <c r="G33" s="12">
        <f t="shared" si="2"/>
        <v>4</v>
      </c>
      <c r="H33" s="12">
        <f t="shared" si="3"/>
        <v>1</v>
      </c>
    </row>
    <row r="34" spans="1:8" ht="15.75" customHeight="1" x14ac:dyDescent="0.25">
      <c r="A34" s="7" t="s">
        <v>128</v>
      </c>
      <c r="B34" s="8" t="s">
        <v>127</v>
      </c>
      <c r="C34" s="8">
        <v>4</v>
      </c>
      <c r="D34" s="8">
        <f>IF(COUNTIF(ResumeSkills[Skill],A34)&gt;0,1,0)</f>
        <v>1</v>
      </c>
      <c r="E34" s="8">
        <f t="shared" si="0"/>
        <v>4</v>
      </c>
      <c r="F34" s="8">
        <f t="shared" si="1"/>
        <v>0</v>
      </c>
      <c r="G34" s="8">
        <f t="shared" si="2"/>
        <v>4</v>
      </c>
      <c r="H34" s="8">
        <f t="shared" si="3"/>
        <v>5</v>
      </c>
    </row>
    <row r="35" spans="1:8" ht="15.75" customHeight="1" x14ac:dyDescent="0.25">
      <c r="A35" s="11" t="s">
        <v>131</v>
      </c>
      <c r="B35" s="12" t="s">
        <v>127</v>
      </c>
      <c r="C35" s="12">
        <v>4</v>
      </c>
      <c r="D35" s="12">
        <f>IF(COUNTIF(ResumeSkills[Skill],A35)&gt;0,1,0)</f>
        <v>0</v>
      </c>
      <c r="E35" s="12">
        <f t="shared" si="0"/>
        <v>0</v>
      </c>
      <c r="F35" s="12">
        <f t="shared" si="1"/>
        <v>4</v>
      </c>
      <c r="G35" s="12">
        <f t="shared" si="2"/>
        <v>1</v>
      </c>
      <c r="H35" s="12">
        <f t="shared" si="3"/>
        <v>10</v>
      </c>
    </row>
    <row r="36" spans="1:8" ht="15.75" customHeight="1" x14ac:dyDescent="0.25">
      <c r="A36" s="7" t="s">
        <v>129</v>
      </c>
      <c r="B36" s="8" t="s">
        <v>127</v>
      </c>
      <c r="C36" s="8">
        <v>5</v>
      </c>
      <c r="D36" s="8">
        <f>IF(COUNTIF(ResumeSkills[Skill],A36)&gt;0,1,0)</f>
        <v>1</v>
      </c>
      <c r="E36" s="8">
        <f t="shared" si="0"/>
        <v>5</v>
      </c>
      <c r="F36" s="8">
        <f t="shared" si="1"/>
        <v>0</v>
      </c>
      <c r="G36" s="8">
        <f t="shared" si="2"/>
        <v>4</v>
      </c>
      <c r="H36" s="8">
        <f t="shared" si="3"/>
        <v>1</v>
      </c>
    </row>
    <row r="37" spans="1:8" ht="15.75" customHeight="1" x14ac:dyDescent="0.25">
      <c r="A37" s="11" t="s">
        <v>132</v>
      </c>
      <c r="B37" s="12" t="s">
        <v>133</v>
      </c>
      <c r="C37" s="12">
        <v>5</v>
      </c>
      <c r="D37" s="12">
        <f>IF(COUNTIF(ResumeSkills[Skill],A37)&gt;0,1,0)</f>
        <v>1</v>
      </c>
      <c r="E37" s="12">
        <f t="shared" si="0"/>
        <v>5</v>
      </c>
      <c r="F37" s="12">
        <f t="shared" si="1"/>
        <v>0</v>
      </c>
      <c r="G37" s="12">
        <f t="shared" si="2"/>
        <v>4</v>
      </c>
      <c r="H37" s="12">
        <f t="shared" si="3"/>
        <v>1</v>
      </c>
    </row>
    <row r="38" spans="1:8" ht="15.75" customHeight="1" x14ac:dyDescent="0.25">
      <c r="A38" s="7" t="s">
        <v>136</v>
      </c>
      <c r="B38" s="8" t="s">
        <v>127</v>
      </c>
      <c r="C38" s="8">
        <v>3</v>
      </c>
      <c r="D38" s="8">
        <f>IF(COUNTIF(ResumeSkills[Skill],A38)&gt;0,1,0)</f>
        <v>0</v>
      </c>
      <c r="E38" s="8">
        <f t="shared" si="0"/>
        <v>0</v>
      </c>
      <c r="F38" s="8">
        <f t="shared" si="1"/>
        <v>3</v>
      </c>
      <c r="G38" s="8">
        <f t="shared" si="2"/>
        <v>2</v>
      </c>
      <c r="H38" s="8">
        <f t="shared" si="3"/>
        <v>10</v>
      </c>
    </row>
    <row r="39" spans="1:8" ht="15.75" customHeight="1" x14ac:dyDescent="0.25">
      <c r="A39" s="11" t="s">
        <v>137</v>
      </c>
      <c r="B39" s="12" t="s">
        <v>133</v>
      </c>
      <c r="C39" s="12">
        <v>3</v>
      </c>
      <c r="D39" s="12">
        <f>IF(COUNTIF(ResumeSkills[Skill],A39)&gt;0,1,0)</f>
        <v>1</v>
      </c>
      <c r="E39" s="12">
        <f t="shared" si="0"/>
        <v>3</v>
      </c>
      <c r="F39" s="12">
        <f t="shared" si="1"/>
        <v>0</v>
      </c>
      <c r="G39" s="12">
        <f t="shared" si="2"/>
        <v>4</v>
      </c>
      <c r="H39" s="12">
        <f t="shared" si="3"/>
        <v>7</v>
      </c>
    </row>
    <row r="40" spans="1:8" ht="15.75" customHeight="1" x14ac:dyDescent="0.25">
      <c r="A40" s="7" t="s">
        <v>140</v>
      </c>
      <c r="B40" s="8" t="s">
        <v>139</v>
      </c>
      <c r="C40" s="8">
        <v>3</v>
      </c>
      <c r="D40" s="8">
        <f>IF(COUNTIF(ResumeSkills[Skill],A40)&gt;0,1,0)</f>
        <v>1</v>
      </c>
      <c r="E40" s="8">
        <f t="shared" si="0"/>
        <v>3</v>
      </c>
      <c r="F40" s="8">
        <f t="shared" si="1"/>
        <v>0</v>
      </c>
      <c r="G40" s="8">
        <f t="shared" si="2"/>
        <v>4</v>
      </c>
      <c r="H40" s="8">
        <f t="shared" si="3"/>
        <v>7</v>
      </c>
    </row>
    <row r="41" spans="1:8" ht="15.75" customHeight="1" x14ac:dyDescent="0.25">
      <c r="A41" s="11" t="s">
        <v>142</v>
      </c>
      <c r="B41" s="12" t="s">
        <v>133</v>
      </c>
      <c r="C41" s="12">
        <v>2</v>
      </c>
      <c r="D41" s="12">
        <f>IF(COUNTIF(ResumeSkills[Skill],A41)&gt;0,1,0)</f>
        <v>1</v>
      </c>
      <c r="E41" s="12">
        <f t="shared" si="0"/>
        <v>2</v>
      </c>
      <c r="F41" s="12">
        <f t="shared" si="1"/>
        <v>0</v>
      </c>
      <c r="G41" s="12">
        <f t="shared" si="2"/>
        <v>4</v>
      </c>
      <c r="H41" s="12">
        <f t="shared" si="3"/>
        <v>9</v>
      </c>
    </row>
    <row r="42" spans="1:8" ht="15.75" customHeight="1" x14ac:dyDescent="0.25">
      <c r="A42" s="7" t="s">
        <v>143</v>
      </c>
      <c r="B42" s="8" t="s">
        <v>127</v>
      </c>
      <c r="C42" s="8">
        <v>3</v>
      </c>
      <c r="D42" s="8">
        <f>IF(COUNTIF(ResumeSkills[Skill],A42)&gt;0,1,0)</f>
        <v>0</v>
      </c>
      <c r="E42" s="8">
        <f t="shared" si="0"/>
        <v>0</v>
      </c>
      <c r="F42" s="8">
        <f t="shared" si="1"/>
        <v>3</v>
      </c>
      <c r="G42" s="8">
        <f t="shared" si="2"/>
        <v>2</v>
      </c>
      <c r="H42" s="8">
        <f t="shared" si="3"/>
        <v>10</v>
      </c>
    </row>
    <row r="43" spans="1:8" ht="15.75" customHeight="1" x14ac:dyDescent="0.25">
      <c r="A43" s="11" t="s">
        <v>135</v>
      </c>
      <c r="B43" s="12" t="s">
        <v>127</v>
      </c>
      <c r="C43" s="12">
        <v>4</v>
      </c>
      <c r="D43" s="12">
        <f>IF(COUNTIF(ResumeSkills[Skill],A43)&gt;0,1,0)</f>
        <v>1</v>
      </c>
      <c r="E43" s="12">
        <f t="shared" si="0"/>
        <v>4</v>
      </c>
      <c r="F43" s="12">
        <f t="shared" si="1"/>
        <v>0</v>
      </c>
      <c r="G43" s="12">
        <f t="shared" si="2"/>
        <v>4</v>
      </c>
      <c r="H43" s="12">
        <f t="shared" si="3"/>
        <v>5</v>
      </c>
    </row>
    <row r="45" spans="1:8" ht="19.5" customHeight="1" x14ac:dyDescent="0.25">
      <c r="A45" s="52" t="s">
        <v>154</v>
      </c>
      <c r="B45" s="52"/>
      <c r="C45" s="52"/>
      <c r="D45" s="52"/>
      <c r="E45" s="52"/>
    </row>
    <row r="46" spans="1:8" ht="19.5" customHeight="1" x14ac:dyDescent="0.25">
      <c r="A46" s="38" t="s">
        <v>155</v>
      </c>
      <c r="C46" s="39">
        <f>SUM(JobPostingSkills[Weight])</f>
        <v>46</v>
      </c>
    </row>
    <row r="47" spans="1:8" ht="19.5" customHeight="1" x14ac:dyDescent="0.25">
      <c r="A47" s="38" t="s">
        <v>156</v>
      </c>
      <c r="C47" s="39">
        <f>SUM(SkillsGap[Weighted Score])</f>
        <v>36</v>
      </c>
    </row>
    <row r="48" spans="1:8" ht="36" customHeight="1" x14ac:dyDescent="0.25">
      <c r="A48" s="68" t="s">
        <v>157</v>
      </c>
      <c r="B48" s="68"/>
      <c r="C48" s="69">
        <f>IFERROR((TotalAchievedWeight/TotalPossibleWeight)*100,0)</f>
        <v>78.260869565217391</v>
      </c>
      <c r="D48" s="69"/>
      <c r="E48" s="69"/>
    </row>
    <row r="50" spans="1:5" ht="19.5" customHeight="1" x14ac:dyDescent="0.25">
      <c r="A50" s="70" t="s">
        <v>158</v>
      </c>
      <c r="B50" s="70"/>
      <c r="C50" s="70"/>
      <c r="D50" s="70"/>
      <c r="E50" s="70"/>
    </row>
    <row r="51" spans="1:5" ht="15" customHeight="1" x14ac:dyDescent="0.25">
      <c r="A51" s="40" t="s">
        <v>159</v>
      </c>
      <c r="B51" s="40" t="s">
        <v>121</v>
      </c>
      <c r="C51" s="40" t="s">
        <v>123</v>
      </c>
      <c r="D51" s="40" t="s">
        <v>122</v>
      </c>
    </row>
    <row r="52" spans="1:5" ht="18" customHeight="1" x14ac:dyDescent="0.25">
      <c r="A52" s="41">
        <v>1</v>
      </c>
      <c r="B52" s="8" t="str">
        <f>IFERROR(INDEX(SkillsGap[Skill],MATCH(1,SkillsGap[Gap Rank],0)),"")</f>
        <v>Python</v>
      </c>
      <c r="C52" s="8">
        <f>IFERROR(INDEX(SkillsGap[Weight],MATCH(1,SkillsGap[Gap Rank],0)),"")</f>
        <v>4</v>
      </c>
      <c r="D52" s="8" t="str">
        <f>IFERROR(INDEX(SkillsGap[Category],MATCH(1,SkillsGap[Gap Rank],0)),"")</f>
        <v>Technical</v>
      </c>
    </row>
    <row r="53" spans="1:5" ht="18" customHeight="1" x14ac:dyDescent="0.25">
      <c r="A53" s="42">
        <v>2</v>
      </c>
      <c r="B53" s="12" t="str">
        <f>IFERROR(INDEX(SkillsGap[Skill],MATCH(2,SkillsGap[Gap Rank],0)),"")</f>
        <v>Azure / Cloud</v>
      </c>
      <c r="C53" s="12">
        <f>IFERROR(INDEX(SkillsGap[Weight],MATCH(2,SkillsGap[Gap Rank],0)),"")</f>
        <v>3</v>
      </c>
      <c r="D53" s="12" t="str">
        <f>IFERROR(INDEX(SkillsGap[Category],MATCH(2,SkillsGap[Gap Rank],0)),"")</f>
        <v>Technical</v>
      </c>
    </row>
    <row r="54" spans="1:5" ht="18" customHeight="1" x14ac:dyDescent="0.25">
      <c r="A54" s="41">
        <v>3</v>
      </c>
      <c r="B54" s="8" t="str">
        <f>IFERROR(INDEX(SkillsGap[Skill],MATCH(3,SkillsGap[Gap Rank],0)),"")</f>
        <v/>
      </c>
      <c r="C54" s="8" t="str">
        <f>IFERROR(INDEX(SkillsGap[Weight],MATCH(3,SkillsGap[Gap Rank],0)),"")</f>
        <v/>
      </c>
      <c r="D54" s="8" t="str">
        <f>IFERROR(INDEX(SkillsGap[Category],MATCH(3,SkillsGap[Gap Rank],0)),"")</f>
        <v/>
      </c>
    </row>
    <row r="55" spans="1:5" ht="18" customHeight="1" x14ac:dyDescent="0.25">
      <c r="A55" s="42">
        <v>4</v>
      </c>
      <c r="B55" s="12" t="str">
        <f>IFERROR(INDEX(SkillsGap[Skill],MATCH(4,SkillsGap[Gap Rank],0)),"")</f>
        <v>Power BI</v>
      </c>
      <c r="C55" s="12">
        <f>IFERROR(INDEX(SkillsGap[Weight],MATCH(4,SkillsGap[Gap Rank],0)),"")</f>
        <v>5</v>
      </c>
      <c r="D55" s="12" t="str">
        <f>IFERROR(INDEX(SkillsGap[Category],MATCH(4,SkillsGap[Gap Rank],0)),"")</f>
        <v>Tools</v>
      </c>
    </row>
    <row r="56" spans="1:5" ht="18" customHeight="1" x14ac:dyDescent="0.25">
      <c r="A56" s="41">
        <v>5</v>
      </c>
      <c r="B56" s="8" t="str">
        <f>IFERROR(INDEX(SkillsGap[Skill],MATCH(5,SkillsGap[Gap Rank],0)),"")</f>
        <v/>
      </c>
      <c r="C56" s="8" t="str">
        <f>IFERROR(INDEX(SkillsGap[Weight],MATCH(5,SkillsGap[Gap Rank],0)),"")</f>
        <v/>
      </c>
      <c r="D56" s="8" t="str">
        <f>IFERROR(INDEX(SkillsGap[Category],MATCH(5,SkillsGap[Gap Rank],0)),"")</f>
        <v/>
      </c>
    </row>
    <row r="58" spans="1:5" ht="19.5" customHeight="1" x14ac:dyDescent="0.25">
      <c r="A58" s="67" t="s">
        <v>160</v>
      </c>
      <c r="B58" s="67"/>
      <c r="C58" s="67"/>
      <c r="D58" s="67"/>
      <c r="E58" s="67"/>
    </row>
    <row r="59" spans="1:5" ht="15" customHeight="1" x14ac:dyDescent="0.25">
      <c r="A59" s="43" t="s">
        <v>159</v>
      </c>
      <c r="B59" s="43" t="s">
        <v>121</v>
      </c>
      <c r="C59" s="43" t="s">
        <v>123</v>
      </c>
      <c r="D59" s="43" t="s">
        <v>122</v>
      </c>
    </row>
    <row r="60" spans="1:5" ht="18" customHeight="1" x14ac:dyDescent="0.25">
      <c r="A60" s="41">
        <v>1</v>
      </c>
      <c r="B60" s="8" t="str">
        <f>IFERROR(INDEX(SkillsGap[Skill],MATCH(1,SkillsGap[Strength Rank],0)),"")</f>
        <v>Power BI</v>
      </c>
      <c r="C60" s="8">
        <f>IFERROR(INDEX(SkillsGap[Weight],MATCH(1,SkillsGap[Strength Rank],0)),"")</f>
        <v>5</v>
      </c>
      <c r="D60" s="8" t="str">
        <f>IFERROR(INDEX(SkillsGap[Category],MATCH(1,SkillsGap[Strength Rank],0)),"")</f>
        <v>Tools</v>
      </c>
    </row>
    <row r="61" spans="1:5" ht="18" customHeight="1" x14ac:dyDescent="0.25">
      <c r="A61" s="42">
        <v>2</v>
      </c>
      <c r="B61" s="12" t="str">
        <f>IFERROR(INDEX(SkillsGap[Skill],MATCH(2,SkillsGap[Strength Rank],0)),"")</f>
        <v/>
      </c>
      <c r="C61" s="12" t="str">
        <f>IFERROR(INDEX(SkillsGap[Weight],MATCH(2,SkillsGap[Strength Rank],0)),"")</f>
        <v/>
      </c>
      <c r="D61" s="12" t="str">
        <f>IFERROR(INDEX(SkillsGap[Category],MATCH(2,SkillsGap[Strength Rank],0)),"")</f>
        <v/>
      </c>
    </row>
    <row r="62" spans="1:5" ht="18" customHeight="1" x14ac:dyDescent="0.25">
      <c r="A62" s="41">
        <v>3</v>
      </c>
      <c r="B62" s="8" t="str">
        <f>IFERROR(INDEX(SkillsGap[Skill],MATCH(3,SkillsGap[Strength Rank],0)),"")</f>
        <v/>
      </c>
      <c r="C62" s="8" t="str">
        <f>IFERROR(INDEX(SkillsGap[Weight],MATCH(3,SkillsGap[Strength Rank],0)),"")</f>
        <v/>
      </c>
      <c r="D62" s="8" t="str">
        <f>IFERROR(INDEX(SkillsGap[Category],MATCH(3,SkillsGap[Strength Rank],0)),"")</f>
        <v/>
      </c>
    </row>
    <row r="63" spans="1:5" ht="18" customHeight="1" x14ac:dyDescent="0.25">
      <c r="A63" s="42">
        <v>4</v>
      </c>
      <c r="B63" s="12" t="str">
        <f>IFERROR(INDEX(SkillsGap[Skill],MATCH(4,SkillsGap[Strength Rank],0)),"")</f>
        <v/>
      </c>
      <c r="C63" s="12" t="str">
        <f>IFERROR(INDEX(SkillsGap[Weight],MATCH(4,SkillsGap[Strength Rank],0)),"")</f>
        <v/>
      </c>
      <c r="D63" s="12" t="str">
        <f>IFERROR(INDEX(SkillsGap[Category],MATCH(4,SkillsGap[Strength Rank],0)),"")</f>
        <v/>
      </c>
    </row>
    <row r="64" spans="1:5" ht="18" customHeight="1" x14ac:dyDescent="0.25">
      <c r="A64" s="41">
        <v>5</v>
      </c>
      <c r="B64" s="8" t="str">
        <f>IFERROR(INDEX(SkillsGap[Skill],MATCH(5,SkillsGap[Strength Rank],0)),"")</f>
        <v>SQL</v>
      </c>
      <c r="C64" s="8">
        <f>IFERROR(INDEX(SkillsGap[Weight],MATCH(5,SkillsGap[Strength Rank],0)),"")</f>
        <v>4</v>
      </c>
      <c r="D64" s="8" t="str">
        <f>IFERROR(INDEX(SkillsGap[Category],MATCH(5,SkillsGap[Strength Rank],0)),"")</f>
        <v>Technical</v>
      </c>
    </row>
  </sheetData>
  <mergeCells count="12">
    <mergeCell ref="A58:E58"/>
    <mergeCell ref="A30:K30"/>
    <mergeCell ref="A45:E45"/>
    <mergeCell ref="A48:B48"/>
    <mergeCell ref="C48:E48"/>
    <mergeCell ref="A50:E50"/>
    <mergeCell ref="A1:K1"/>
    <mergeCell ref="A3:K3"/>
    <mergeCell ref="A4:K4"/>
    <mergeCell ref="A6:C6"/>
    <mergeCell ref="E6:F6"/>
    <mergeCell ref="H6:K6"/>
  </mergeCells>
  <pageMargins left="0.75" right="0.75" top="1" bottom="1" header="0.511811023622047" footer="0.511811023622047"/>
  <pageSetup paperSize="9" orientation="portrait" horizontalDpi="300" verticalDpi="300"/>
  <tableParts count="6">
    <tablePart r:id="rId1"/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C9D1D3"/>
  </sheetPr>
  <dimension ref="A1:D180"/>
  <sheetViews>
    <sheetView zoomScaleNormal="100" workbookViewId="0">
      <selection activeCell="I14" sqref="I14"/>
    </sheetView>
  </sheetViews>
  <sheetFormatPr defaultColWidth="8.7109375" defaultRowHeight="15" x14ac:dyDescent="0.25"/>
  <cols>
    <col min="1" max="1" width="32" customWidth="1"/>
    <col min="2" max="2" width="55" customWidth="1"/>
    <col min="3" max="4" width="16" customWidth="1"/>
  </cols>
  <sheetData>
    <row r="1" spans="1:4" ht="27.75" customHeight="1" x14ac:dyDescent="0.25">
      <c r="A1" s="50" t="s">
        <v>161</v>
      </c>
      <c r="B1" s="50"/>
      <c r="C1" s="50"/>
      <c r="D1" s="50"/>
    </row>
    <row r="2" spans="1:4" ht="18" customHeight="1" x14ac:dyDescent="0.25">
      <c r="A2" s="52" t="s">
        <v>162</v>
      </c>
      <c r="B2" s="52"/>
      <c r="C2" s="52"/>
      <c r="D2" s="52"/>
    </row>
    <row r="3" spans="1:4" ht="19.5" customHeight="1" x14ac:dyDescent="0.25">
      <c r="A3" s="44" t="s">
        <v>163</v>
      </c>
      <c r="B3" s="45" t="s">
        <v>164</v>
      </c>
    </row>
    <row r="4" spans="1:4" ht="19.5" customHeight="1" x14ac:dyDescent="0.25">
      <c r="A4" s="44" t="s">
        <v>4</v>
      </c>
      <c r="B4" s="45" t="s">
        <v>5</v>
      </c>
    </row>
    <row r="5" spans="1:4" ht="19.5" customHeight="1" x14ac:dyDescent="0.25">
      <c r="A5" s="44" t="s">
        <v>2</v>
      </c>
      <c r="B5" s="45" t="s">
        <v>3</v>
      </c>
    </row>
    <row r="6" spans="1:4" ht="19.5" customHeight="1" x14ac:dyDescent="0.25">
      <c r="A6" s="44" t="s">
        <v>165</v>
      </c>
      <c r="B6" s="45" t="s">
        <v>166</v>
      </c>
    </row>
    <row r="8" spans="1:4" ht="18" customHeight="1" x14ac:dyDescent="0.25">
      <c r="A8" s="52" t="s">
        <v>167</v>
      </c>
      <c r="B8" s="52"/>
      <c r="C8" s="52"/>
      <c r="D8" s="52"/>
    </row>
    <row r="9" spans="1:4" ht="19.5" customHeight="1" x14ac:dyDescent="0.25">
      <c r="A9" s="44" t="s">
        <v>168</v>
      </c>
      <c r="B9" s="45" t="s">
        <v>169</v>
      </c>
    </row>
    <row r="10" spans="1:4" ht="19.5" customHeight="1" x14ac:dyDescent="0.25">
      <c r="A10" s="44" t="s">
        <v>170</v>
      </c>
      <c r="B10" s="45" t="s">
        <v>171</v>
      </c>
    </row>
    <row r="11" spans="1:4" ht="19.5" customHeight="1" x14ac:dyDescent="0.25">
      <c r="A11" s="44" t="s">
        <v>172</v>
      </c>
      <c r="B11" s="45" t="s">
        <v>173</v>
      </c>
    </row>
    <row r="12" spans="1:4" ht="19.5" customHeight="1" x14ac:dyDescent="0.25">
      <c r="A12" s="44" t="s">
        <v>174</v>
      </c>
      <c r="B12" s="45" t="s">
        <v>175</v>
      </c>
    </row>
    <row r="13" spans="1:4" ht="19.5" customHeight="1" x14ac:dyDescent="0.25">
      <c r="A13" s="44" t="s">
        <v>176</v>
      </c>
      <c r="B13" s="45" t="s">
        <v>177</v>
      </c>
    </row>
    <row r="14" spans="1:4" ht="19.5" customHeight="1" x14ac:dyDescent="0.25">
      <c r="A14" s="44" t="s">
        <v>178</v>
      </c>
      <c r="B14" s="45" t="s">
        <v>179</v>
      </c>
    </row>
    <row r="15" spans="1:4" ht="19.5" customHeight="1" x14ac:dyDescent="0.25">
      <c r="A15" s="44" t="s">
        <v>180</v>
      </c>
      <c r="B15" s="45" t="s">
        <v>181</v>
      </c>
    </row>
    <row r="17" spans="1:4" ht="18" customHeight="1" x14ac:dyDescent="0.25">
      <c r="A17" s="52" t="s">
        <v>182</v>
      </c>
      <c r="B17" s="52"/>
      <c r="C17" s="52"/>
      <c r="D17" s="52"/>
    </row>
    <row r="18" spans="1:4" ht="19.5" customHeight="1" x14ac:dyDescent="0.25">
      <c r="A18" s="44" t="s">
        <v>183</v>
      </c>
      <c r="B18" s="45" t="s">
        <v>184</v>
      </c>
    </row>
    <row r="19" spans="1:4" ht="19.5" customHeight="1" x14ac:dyDescent="0.25">
      <c r="A19" s="44" t="s">
        <v>185</v>
      </c>
      <c r="B19" s="45" t="s">
        <v>186</v>
      </c>
    </row>
    <row r="20" spans="1:4" ht="19.5" customHeight="1" x14ac:dyDescent="0.25">
      <c r="A20" s="44" t="s">
        <v>187</v>
      </c>
      <c r="B20" s="45" t="s">
        <v>188</v>
      </c>
    </row>
    <row r="21" spans="1:4" ht="19.5" customHeight="1" x14ac:dyDescent="0.25">
      <c r="A21" s="44" t="s">
        <v>189</v>
      </c>
      <c r="B21" s="45" t="s">
        <v>190</v>
      </c>
    </row>
    <row r="22" spans="1:4" ht="19.5" customHeight="1" x14ac:dyDescent="0.25">
      <c r="A22" s="44" t="s">
        <v>191</v>
      </c>
      <c r="B22" s="45" t="s">
        <v>192</v>
      </c>
    </row>
    <row r="23" spans="1:4" ht="19.5" customHeight="1" x14ac:dyDescent="0.25">
      <c r="A23" s="44" t="s">
        <v>193</v>
      </c>
      <c r="B23" s="45" t="s">
        <v>194</v>
      </c>
    </row>
    <row r="24" spans="1:4" ht="19.5" customHeight="1" x14ac:dyDescent="0.25">
      <c r="A24" s="44" t="s">
        <v>195</v>
      </c>
      <c r="B24" s="45" t="s">
        <v>196</v>
      </c>
    </row>
    <row r="25" spans="1:4" ht="19.5" customHeight="1" x14ac:dyDescent="0.25">
      <c r="A25" s="44" t="s">
        <v>197</v>
      </c>
      <c r="B25" s="45" t="s">
        <v>198</v>
      </c>
    </row>
    <row r="26" spans="1:4" ht="19.5" customHeight="1" x14ac:dyDescent="0.25">
      <c r="A26" s="44" t="s">
        <v>199</v>
      </c>
      <c r="B26" s="45" t="s">
        <v>200</v>
      </c>
    </row>
    <row r="28" spans="1:4" ht="18" customHeight="1" x14ac:dyDescent="0.25">
      <c r="A28" s="52" t="s">
        <v>201</v>
      </c>
      <c r="B28" s="52"/>
      <c r="C28" s="52"/>
      <c r="D28" s="52"/>
    </row>
    <row r="29" spans="1:4" ht="19.5" customHeight="1" x14ac:dyDescent="0.25">
      <c r="A29" s="44" t="s">
        <v>202</v>
      </c>
      <c r="B29" s="45">
        <f ca="1">COUNTIFS(Log!A:A,"&gt;="&amp;TODAY()-7)</f>
        <v>0</v>
      </c>
    </row>
    <row r="30" spans="1:4" ht="19.5" customHeight="1" x14ac:dyDescent="0.25">
      <c r="A30" s="44" t="s">
        <v>203</v>
      </c>
      <c r="B30" s="45">
        <f ca="1">COUNTIFS(Log!H:H,"&lt;"&amp;TODAY(),Log!G:G,"Applied")</f>
        <v>2</v>
      </c>
    </row>
    <row r="31" spans="1:4" ht="19.5" customHeight="1" x14ac:dyDescent="0.25">
      <c r="A31" s="44" t="s">
        <v>204</v>
      </c>
      <c r="B31" s="45">
        <f>IFERROR(COUNTIF(Log!G:G,"Interview Scheduled")/(COUNTA(Log!A:A)-1),0)</f>
        <v>0.16666666666666666</v>
      </c>
    </row>
    <row r="32" spans="1:4" ht="19.5" customHeight="1" x14ac:dyDescent="0.25">
      <c r="A32" s="44" t="s">
        <v>205</v>
      </c>
      <c r="B32" s="45">
        <f>IFERROR(COUNTIF(Log!G:G,"Offer")/(COUNTA(Log!A:A)-1),0)</f>
        <v>0</v>
      </c>
    </row>
    <row r="34" spans="1:4" ht="18" customHeight="1" x14ac:dyDescent="0.25">
      <c r="A34" s="52" t="s">
        <v>206</v>
      </c>
      <c r="B34" s="52"/>
      <c r="C34" s="52"/>
      <c r="D34" s="52"/>
    </row>
    <row r="35" spans="1:4" ht="19.5" customHeight="1" x14ac:dyDescent="0.25">
      <c r="A35" s="44" t="s">
        <v>207</v>
      </c>
      <c r="B35" s="45">
        <f ca="1">MIN((COUNTIFS(Log!A:A,"&gt;="&amp;TODAY()-7)/5)*30,30)</f>
        <v>0</v>
      </c>
    </row>
    <row r="36" spans="1:4" ht="19.5" customHeight="1" x14ac:dyDescent="0.25">
      <c r="A36" s="44" t="s">
        <v>208</v>
      </c>
      <c r="B36" s="45">
        <f ca="1">MAX(30-(COUNTIFS(Log!H:H,"&lt;"&amp;TODAY(),Log!G:G,"Applied")*10),0)</f>
        <v>10</v>
      </c>
    </row>
    <row r="37" spans="1:4" ht="19.5" customHeight="1" x14ac:dyDescent="0.25">
      <c r="A37" s="44" t="s">
        <v>209</v>
      </c>
      <c r="B37" s="45">
        <f>IFERROR(MIN((COUNTIF(Log!G:G,"Interview Scheduled")/(COUNTA(Log!A:A)-1))*25,25),0)</f>
        <v>4.1666666666666661</v>
      </c>
    </row>
    <row r="38" spans="1:4" ht="19.5" customHeight="1" x14ac:dyDescent="0.25">
      <c r="A38" s="44" t="s">
        <v>210</v>
      </c>
      <c r="B38" s="45">
        <f>IFERROR(MIN((COUNTIF(Log!G:G,"Offer")/(COUNTA(Log!A:A)-1))*15,15),0)</f>
        <v>0</v>
      </c>
    </row>
    <row r="39" spans="1:4" ht="19.5" customHeight="1" x14ac:dyDescent="0.25">
      <c r="A39" s="44" t="s">
        <v>211</v>
      </c>
      <c r="B39" s="45">
        <f ca="1">ScoreA+ScoreB+ScoreC+ScoreD</f>
        <v>14.166666666666666</v>
      </c>
    </row>
    <row r="41" spans="1:4" ht="18" customHeight="1" x14ac:dyDescent="0.25">
      <c r="A41" s="52" t="s">
        <v>212</v>
      </c>
      <c r="B41" s="52"/>
      <c r="C41" s="52"/>
      <c r="D41" s="52"/>
    </row>
    <row r="42" spans="1:4" ht="19.5" customHeight="1" x14ac:dyDescent="0.25">
      <c r="A42" s="44" t="s">
        <v>213</v>
      </c>
      <c r="B42" s="46" t="s">
        <v>214</v>
      </c>
    </row>
    <row r="43" spans="1:4" ht="19.5" customHeight="1" x14ac:dyDescent="0.25">
      <c r="A43" s="44" t="s">
        <v>215</v>
      </c>
      <c r="B43" s="46" t="s">
        <v>216</v>
      </c>
    </row>
    <row r="44" spans="1:4" ht="19.5" customHeight="1" x14ac:dyDescent="0.25">
      <c r="A44" s="44" t="s">
        <v>217</v>
      </c>
      <c r="B44" s="46" t="s">
        <v>218</v>
      </c>
    </row>
    <row r="45" spans="1:4" ht="19.5" customHeight="1" x14ac:dyDescent="0.25">
      <c r="A45" s="44" t="s">
        <v>219</v>
      </c>
      <c r="B45" s="46" t="s">
        <v>220</v>
      </c>
    </row>
    <row r="46" spans="1:4" ht="19.5" customHeight="1" x14ac:dyDescent="0.25">
      <c r="A46" s="44" t="s">
        <v>221</v>
      </c>
      <c r="B46" s="46" t="s">
        <v>222</v>
      </c>
    </row>
    <row r="47" spans="1:4" ht="19.5" customHeight="1" x14ac:dyDescent="0.25">
      <c r="A47" s="44" t="s">
        <v>223</v>
      </c>
      <c r="B47" s="45">
        <f>IFERROR((TotalAchievedWeight/TotalPossibleWeight)*100,0)</f>
        <v>78.260869565217391</v>
      </c>
    </row>
    <row r="49" spans="1:4" ht="18" customHeight="1" x14ac:dyDescent="0.25">
      <c r="A49" s="52" t="s">
        <v>224</v>
      </c>
      <c r="B49" s="52"/>
      <c r="C49" s="52"/>
      <c r="D49" s="52"/>
    </row>
    <row r="50" spans="1:4" ht="19.5" customHeight="1" x14ac:dyDescent="0.25">
      <c r="A50" s="44" t="s">
        <v>225</v>
      </c>
      <c r="B50" s="45" t="s">
        <v>226</v>
      </c>
    </row>
    <row r="51" spans="1:4" ht="19.5" customHeight="1" x14ac:dyDescent="0.25">
      <c r="A51" s="44" t="s">
        <v>227</v>
      </c>
      <c r="B51" s="45" t="s">
        <v>228</v>
      </c>
    </row>
    <row r="52" spans="1:4" ht="19.5" customHeight="1" x14ac:dyDescent="0.25">
      <c r="A52" s="44" t="s">
        <v>229</v>
      </c>
      <c r="B52" s="45" t="s">
        <v>230</v>
      </c>
    </row>
    <row r="53" spans="1:4" ht="19.5" customHeight="1" x14ac:dyDescent="0.25">
      <c r="A53" s="44" t="s">
        <v>231</v>
      </c>
      <c r="B53" s="45" t="s">
        <v>232</v>
      </c>
    </row>
    <row r="54" spans="1:4" ht="19.5" customHeight="1" x14ac:dyDescent="0.25">
      <c r="A54" s="44" t="s">
        <v>233</v>
      </c>
      <c r="B54" s="45" t="s">
        <v>234</v>
      </c>
    </row>
    <row r="56" spans="1:4" ht="18" customHeight="1" x14ac:dyDescent="0.25">
      <c r="A56" s="52" t="s">
        <v>235</v>
      </c>
      <c r="B56" s="52"/>
      <c r="C56" s="52"/>
      <c r="D56" s="52"/>
    </row>
    <row r="57" spans="1:4" ht="19.5" customHeight="1" x14ac:dyDescent="0.25">
      <c r="A57" s="44" t="s">
        <v>236</v>
      </c>
      <c r="B57" s="45" t="b">
        <f ca="1">AND($H3&lt;TODAY(),$H3&lt;&gt;"",$G3="Applied")</f>
        <v>0</v>
      </c>
    </row>
    <row r="58" spans="1:4" ht="19.5" customHeight="1" x14ac:dyDescent="0.25">
      <c r="A58" s="44" t="s">
        <v>237</v>
      </c>
      <c r="B58" s="45" t="b">
        <f ca="1">AND($J3&gt;=TODAY(),$J3&lt;=TODAY()+3)</f>
        <v>0</v>
      </c>
    </row>
    <row r="59" spans="1:4" ht="19.5" customHeight="1" x14ac:dyDescent="0.25">
      <c r="A59" s="44" t="s">
        <v>238</v>
      </c>
      <c r="B59" s="45" t="b">
        <f>NOT(ISERROR(SEARCH("Offer",$K3)))</f>
        <v>0</v>
      </c>
    </row>
    <row r="61" spans="1:4" ht="18" customHeight="1" x14ac:dyDescent="0.25">
      <c r="A61" s="52" t="s">
        <v>239</v>
      </c>
      <c r="B61" s="52"/>
      <c r="C61" s="52"/>
      <c r="D61" s="52"/>
    </row>
    <row r="62" spans="1:4" ht="19.5" customHeight="1" x14ac:dyDescent="0.25">
      <c r="A62" s="44" t="s">
        <v>240</v>
      </c>
      <c r="B62" s="45" t="s">
        <v>241</v>
      </c>
    </row>
    <row r="63" spans="1:4" ht="19.5" customHeight="1" x14ac:dyDescent="0.25">
      <c r="A63" s="44" t="s">
        <v>242</v>
      </c>
      <c r="B63" s="45" t="s">
        <v>243</v>
      </c>
    </row>
    <row r="64" spans="1:4" ht="19.5" customHeight="1" x14ac:dyDescent="0.25">
      <c r="A64" s="44" t="s">
        <v>244</v>
      </c>
      <c r="B64" s="45" t="s">
        <v>245</v>
      </c>
    </row>
    <row r="66" spans="1:4" ht="18" customHeight="1" x14ac:dyDescent="0.25">
      <c r="A66" s="52" t="s">
        <v>246</v>
      </c>
      <c r="B66" s="52"/>
      <c r="C66" s="52"/>
      <c r="D66" s="52"/>
    </row>
    <row r="67" spans="1:4" ht="19.5" customHeight="1" x14ac:dyDescent="0.25">
      <c r="A67" s="44" t="s">
        <v>247</v>
      </c>
      <c r="B67" s="45" t="s">
        <v>248</v>
      </c>
    </row>
    <row r="68" spans="1:4" ht="19.5" customHeight="1" x14ac:dyDescent="0.25">
      <c r="A68" s="44" t="s">
        <v>249</v>
      </c>
      <c r="B68" s="45" t="s">
        <v>250</v>
      </c>
    </row>
    <row r="69" spans="1:4" ht="19.5" customHeight="1" x14ac:dyDescent="0.25">
      <c r="A69" s="44" t="s">
        <v>251</v>
      </c>
      <c r="B69" s="45" t="s">
        <v>252</v>
      </c>
    </row>
    <row r="70" spans="1:4" ht="19.5" customHeight="1" x14ac:dyDescent="0.25">
      <c r="A70" s="44" t="s">
        <v>253</v>
      </c>
      <c r="B70" s="45" t="s">
        <v>250</v>
      </c>
    </row>
    <row r="71" spans="1:4" ht="19.5" customHeight="1" x14ac:dyDescent="0.25">
      <c r="A71" s="44" t="s">
        <v>254</v>
      </c>
      <c r="B71" s="45" t="s">
        <v>255</v>
      </c>
    </row>
    <row r="72" spans="1:4" ht="19.5" customHeight="1" x14ac:dyDescent="0.25">
      <c r="A72" s="44" t="s">
        <v>256</v>
      </c>
      <c r="B72" s="45" t="s">
        <v>257</v>
      </c>
    </row>
    <row r="73" spans="1:4" ht="19.5" customHeight="1" x14ac:dyDescent="0.25">
      <c r="A73" s="44" t="s">
        <v>258</v>
      </c>
      <c r="B73" s="45" t="s">
        <v>257</v>
      </c>
    </row>
    <row r="75" spans="1:4" ht="18" customHeight="1" x14ac:dyDescent="0.25">
      <c r="A75" s="52" t="s">
        <v>259</v>
      </c>
      <c r="B75" s="52"/>
      <c r="C75" s="52"/>
      <c r="D75" s="52"/>
    </row>
    <row r="76" spans="1:4" ht="19.5" customHeight="1" x14ac:dyDescent="0.25">
      <c r="A76" s="5" t="s">
        <v>260</v>
      </c>
      <c r="B76" s="5" t="s">
        <v>108</v>
      </c>
      <c r="C76" s="5" t="s">
        <v>261</v>
      </c>
      <c r="D76" s="5" t="s">
        <v>262</v>
      </c>
    </row>
    <row r="77" spans="1:4" ht="18" customHeight="1" x14ac:dyDescent="0.25">
      <c r="A77" s="8" t="s">
        <v>5</v>
      </c>
      <c r="B77" s="8" t="s">
        <v>263</v>
      </c>
      <c r="C77" s="8" t="s">
        <v>264</v>
      </c>
      <c r="D77" s="8" t="s">
        <v>3</v>
      </c>
    </row>
    <row r="80" spans="1:4" ht="19.5" customHeight="1" x14ac:dyDescent="0.25">
      <c r="A80" s="52" t="s">
        <v>265</v>
      </c>
      <c r="B80" s="52"/>
      <c r="C80" s="52"/>
      <c r="D80" s="52"/>
    </row>
    <row r="81" spans="1:4" ht="12.75" customHeight="1" x14ac:dyDescent="0.25">
      <c r="A81" s="71" t="s">
        <v>266</v>
      </c>
      <c r="B81" s="71"/>
      <c r="C81" s="71"/>
      <c r="D81" s="71"/>
    </row>
    <row r="82" spans="1:4" ht="12.75" customHeight="1" x14ac:dyDescent="0.25">
      <c r="A82" s="71"/>
      <c r="B82" s="71"/>
      <c r="C82" s="71"/>
      <c r="D82" s="71"/>
    </row>
    <row r="83" spans="1:4" ht="12.75" customHeight="1" x14ac:dyDescent="0.25">
      <c r="A83" s="71" t="s">
        <v>267</v>
      </c>
      <c r="B83" s="71"/>
      <c r="C83" s="71"/>
      <c r="D83" s="71"/>
    </row>
    <row r="84" spans="1:4" ht="12.75" customHeight="1" x14ac:dyDescent="0.25">
      <c r="A84" s="71" t="s">
        <v>268</v>
      </c>
      <c r="B84" s="71"/>
      <c r="C84" s="71"/>
      <c r="D84" s="71"/>
    </row>
    <row r="85" spans="1:4" ht="12.75" customHeight="1" x14ac:dyDescent="0.25">
      <c r="A85" s="71" t="s">
        <v>267</v>
      </c>
      <c r="B85" s="71"/>
      <c r="C85" s="71"/>
      <c r="D85" s="71"/>
    </row>
    <row r="86" spans="1:4" ht="12.75" customHeight="1" x14ac:dyDescent="0.25">
      <c r="A86" s="71" t="s">
        <v>269</v>
      </c>
      <c r="B86" s="71"/>
      <c r="C86" s="71"/>
      <c r="D86" s="71"/>
    </row>
    <row r="87" spans="1:4" ht="12.75" customHeight="1" x14ac:dyDescent="0.25">
      <c r="A87" s="71" t="s">
        <v>270</v>
      </c>
      <c r="B87" s="71"/>
      <c r="C87" s="71"/>
      <c r="D87" s="71"/>
    </row>
    <row r="88" spans="1:4" ht="12.75" customHeight="1" x14ac:dyDescent="0.25">
      <c r="A88" s="71" t="s">
        <v>271</v>
      </c>
      <c r="B88" s="71"/>
      <c r="C88" s="71"/>
      <c r="D88" s="71"/>
    </row>
    <row r="89" spans="1:4" ht="12.75" customHeight="1" x14ac:dyDescent="0.25">
      <c r="A89" s="71" t="s">
        <v>272</v>
      </c>
      <c r="B89" s="71"/>
      <c r="C89" s="71"/>
      <c r="D89" s="71"/>
    </row>
    <row r="90" spans="1:4" ht="12.75" customHeight="1" x14ac:dyDescent="0.25">
      <c r="A90" s="71" t="s">
        <v>273</v>
      </c>
      <c r="B90" s="71"/>
      <c r="C90" s="71"/>
      <c r="D90" s="71"/>
    </row>
    <row r="91" spans="1:4" ht="12.75" customHeight="1" x14ac:dyDescent="0.25">
      <c r="A91" s="71" t="s">
        <v>274</v>
      </c>
      <c r="B91" s="71"/>
      <c r="C91" s="71"/>
      <c r="D91" s="71"/>
    </row>
    <row r="92" spans="1:4" ht="12.75" customHeight="1" x14ac:dyDescent="0.25">
      <c r="A92" s="71" t="s">
        <v>275</v>
      </c>
      <c r="B92" s="71"/>
      <c r="C92" s="71"/>
      <c r="D92" s="71"/>
    </row>
    <row r="93" spans="1:4" ht="12.75" customHeight="1" x14ac:dyDescent="0.25">
      <c r="A93" s="71" t="s">
        <v>276</v>
      </c>
      <c r="B93" s="71"/>
      <c r="C93" s="71"/>
      <c r="D93" s="71"/>
    </row>
    <row r="94" spans="1:4" ht="12.75" customHeight="1" x14ac:dyDescent="0.25">
      <c r="A94" s="71" t="s">
        <v>277</v>
      </c>
      <c r="B94" s="71"/>
      <c r="C94" s="71"/>
      <c r="D94" s="71"/>
    </row>
    <row r="95" spans="1:4" ht="12.75" customHeight="1" x14ac:dyDescent="0.25">
      <c r="A95" s="71" t="s">
        <v>278</v>
      </c>
      <c r="B95" s="71"/>
      <c r="C95" s="71"/>
      <c r="D95" s="71"/>
    </row>
    <row r="96" spans="1:4" ht="12.75" customHeight="1" x14ac:dyDescent="0.25">
      <c r="A96" s="71" t="s">
        <v>279</v>
      </c>
      <c r="B96" s="71"/>
      <c r="C96" s="71"/>
      <c r="D96" s="71"/>
    </row>
    <row r="97" spans="1:4" ht="12.75" customHeight="1" x14ac:dyDescent="0.25">
      <c r="A97" s="71" t="s">
        <v>280</v>
      </c>
      <c r="B97" s="71"/>
      <c r="C97" s="71"/>
      <c r="D97" s="71"/>
    </row>
    <row r="98" spans="1:4" ht="12.75" customHeight="1" x14ac:dyDescent="0.25">
      <c r="A98" s="71" t="s">
        <v>281</v>
      </c>
      <c r="B98" s="71"/>
      <c r="C98" s="71"/>
      <c r="D98" s="71"/>
    </row>
    <row r="99" spans="1:4" ht="12.75" customHeight="1" x14ac:dyDescent="0.25">
      <c r="A99" s="71" t="s">
        <v>282</v>
      </c>
      <c r="B99" s="71"/>
      <c r="C99" s="71"/>
      <c r="D99" s="71"/>
    </row>
    <row r="100" spans="1:4" ht="12.75" customHeight="1" x14ac:dyDescent="0.25">
      <c r="A100" s="71"/>
      <c r="B100" s="71"/>
      <c r="C100" s="71"/>
      <c r="D100" s="71"/>
    </row>
    <row r="101" spans="1:4" ht="12.75" customHeight="1" x14ac:dyDescent="0.25">
      <c r="A101" s="71" t="s">
        <v>267</v>
      </c>
      <c r="B101" s="71"/>
      <c r="C101" s="71"/>
      <c r="D101" s="71"/>
    </row>
    <row r="102" spans="1:4" ht="12.75" customHeight="1" x14ac:dyDescent="0.25">
      <c r="A102" s="71" t="s">
        <v>283</v>
      </c>
      <c r="B102" s="71"/>
      <c r="C102" s="71"/>
      <c r="D102" s="71"/>
    </row>
    <row r="103" spans="1:4" ht="12.75" customHeight="1" x14ac:dyDescent="0.25">
      <c r="A103" s="71" t="s">
        <v>267</v>
      </c>
      <c r="B103" s="71"/>
      <c r="C103" s="71"/>
      <c r="D103" s="71"/>
    </row>
    <row r="104" spans="1:4" ht="12.75" customHeight="1" x14ac:dyDescent="0.25">
      <c r="A104" s="71" t="s">
        <v>284</v>
      </c>
      <c r="B104" s="71"/>
      <c r="C104" s="71"/>
      <c r="D104" s="71"/>
    </row>
    <row r="105" spans="1:4" ht="12.75" customHeight="1" x14ac:dyDescent="0.25">
      <c r="A105" s="71" t="s">
        <v>273</v>
      </c>
      <c r="B105" s="71"/>
      <c r="C105" s="71"/>
      <c r="D105" s="71"/>
    </row>
    <row r="106" spans="1:4" ht="12.75" customHeight="1" x14ac:dyDescent="0.25">
      <c r="A106" s="71" t="s">
        <v>274</v>
      </c>
      <c r="B106" s="71"/>
      <c r="C106" s="71"/>
      <c r="D106" s="71"/>
    </row>
    <row r="107" spans="1:4" ht="12.75" customHeight="1" x14ac:dyDescent="0.25">
      <c r="A107" s="71" t="s">
        <v>285</v>
      </c>
      <c r="B107" s="71"/>
      <c r="C107" s="71"/>
      <c r="D107" s="71"/>
    </row>
    <row r="108" spans="1:4" ht="12.75" customHeight="1" x14ac:dyDescent="0.25">
      <c r="A108" s="71" t="s">
        <v>286</v>
      </c>
      <c r="B108" s="71"/>
      <c r="C108" s="71"/>
      <c r="D108" s="71"/>
    </row>
    <row r="109" spans="1:4" ht="12.75" customHeight="1" x14ac:dyDescent="0.25">
      <c r="A109" s="71" t="s">
        <v>275</v>
      </c>
      <c r="B109" s="71"/>
      <c r="C109" s="71"/>
      <c r="D109" s="71"/>
    </row>
    <row r="110" spans="1:4" ht="12.75" customHeight="1" x14ac:dyDescent="0.25">
      <c r="A110" s="71" t="s">
        <v>276</v>
      </c>
      <c r="B110" s="71"/>
      <c r="C110" s="71"/>
      <c r="D110" s="71"/>
    </row>
    <row r="111" spans="1:4" ht="12.75" customHeight="1" x14ac:dyDescent="0.25">
      <c r="A111" s="71" t="s">
        <v>287</v>
      </c>
      <c r="B111" s="71"/>
      <c r="C111" s="71"/>
      <c r="D111" s="71"/>
    </row>
    <row r="112" spans="1:4" ht="12.75" customHeight="1" x14ac:dyDescent="0.25">
      <c r="A112" s="71" t="s">
        <v>288</v>
      </c>
      <c r="B112" s="71"/>
      <c r="C112" s="71"/>
      <c r="D112" s="71"/>
    </row>
    <row r="113" spans="1:4" ht="12.75" customHeight="1" x14ac:dyDescent="0.25">
      <c r="A113" s="71" t="s">
        <v>289</v>
      </c>
      <c r="B113" s="71"/>
      <c r="C113" s="71"/>
      <c r="D113" s="71"/>
    </row>
    <row r="114" spans="1:4" ht="12.75" customHeight="1" x14ac:dyDescent="0.25">
      <c r="A114" s="71" t="s">
        <v>290</v>
      </c>
      <c r="B114" s="71"/>
      <c r="C114" s="71"/>
      <c r="D114" s="71"/>
    </row>
    <row r="115" spans="1:4" ht="12.75" customHeight="1" x14ac:dyDescent="0.25">
      <c r="A115" s="71" t="s">
        <v>278</v>
      </c>
      <c r="B115" s="71"/>
      <c r="C115" s="71"/>
      <c r="D115" s="71"/>
    </row>
    <row r="116" spans="1:4" ht="12.75" customHeight="1" x14ac:dyDescent="0.25">
      <c r="A116" s="71" t="s">
        <v>279</v>
      </c>
      <c r="B116" s="71"/>
      <c r="C116" s="71"/>
      <c r="D116" s="71"/>
    </row>
    <row r="117" spans="1:4" ht="12.75" customHeight="1" x14ac:dyDescent="0.25">
      <c r="A117" s="71" t="s">
        <v>291</v>
      </c>
      <c r="B117" s="71"/>
      <c r="C117" s="71"/>
      <c r="D117" s="71"/>
    </row>
    <row r="118" spans="1:4" ht="12.75" customHeight="1" x14ac:dyDescent="0.25">
      <c r="A118" s="71" t="s">
        <v>282</v>
      </c>
      <c r="B118" s="71"/>
      <c r="C118" s="71"/>
      <c r="D118" s="71"/>
    </row>
    <row r="119" spans="1:4" ht="12.75" customHeight="1" x14ac:dyDescent="0.25">
      <c r="A119" s="71"/>
      <c r="B119" s="71"/>
      <c r="C119" s="71"/>
      <c r="D119" s="71"/>
    </row>
    <row r="120" spans="1:4" ht="12.75" customHeight="1" x14ac:dyDescent="0.25">
      <c r="A120" s="71" t="s">
        <v>267</v>
      </c>
      <c r="B120" s="71"/>
      <c r="C120" s="71"/>
      <c r="D120" s="71"/>
    </row>
    <row r="121" spans="1:4" ht="12.75" customHeight="1" x14ac:dyDescent="0.25">
      <c r="A121" s="71" t="s">
        <v>292</v>
      </c>
      <c r="B121" s="71"/>
      <c r="C121" s="71"/>
      <c r="D121" s="71"/>
    </row>
    <row r="122" spans="1:4" ht="12.75" customHeight="1" x14ac:dyDescent="0.25">
      <c r="A122" s="71" t="s">
        <v>267</v>
      </c>
      <c r="B122" s="71"/>
      <c r="C122" s="71"/>
      <c r="D122" s="71"/>
    </row>
    <row r="123" spans="1:4" ht="12.75" customHeight="1" x14ac:dyDescent="0.25">
      <c r="A123" s="71" t="s">
        <v>293</v>
      </c>
      <c r="B123" s="71"/>
      <c r="C123" s="71"/>
      <c r="D123" s="71"/>
    </row>
    <row r="124" spans="1:4" ht="12.75" customHeight="1" x14ac:dyDescent="0.25">
      <c r="A124" s="71" t="s">
        <v>294</v>
      </c>
      <c r="B124" s="71"/>
      <c r="C124" s="71"/>
      <c r="D124" s="71"/>
    </row>
    <row r="125" spans="1:4" ht="12.75" customHeight="1" x14ac:dyDescent="0.25">
      <c r="A125" s="71" t="s">
        <v>295</v>
      </c>
      <c r="B125" s="71"/>
      <c r="C125" s="71"/>
      <c r="D125" s="71"/>
    </row>
    <row r="126" spans="1:4" ht="12.75" customHeight="1" x14ac:dyDescent="0.25">
      <c r="A126" s="71" t="s">
        <v>296</v>
      </c>
      <c r="B126" s="71"/>
      <c r="C126" s="71"/>
      <c r="D126" s="71"/>
    </row>
    <row r="127" spans="1:4" ht="12.75" customHeight="1" x14ac:dyDescent="0.25">
      <c r="A127" s="71" t="s">
        <v>297</v>
      </c>
      <c r="B127" s="71"/>
      <c r="C127" s="71"/>
      <c r="D127" s="71"/>
    </row>
    <row r="128" spans="1:4" ht="12.75" customHeight="1" x14ac:dyDescent="0.25">
      <c r="A128" s="71" t="s">
        <v>298</v>
      </c>
      <c r="B128" s="71"/>
      <c r="C128" s="71"/>
      <c r="D128" s="71"/>
    </row>
    <row r="129" spans="1:4" ht="12.75" customHeight="1" x14ac:dyDescent="0.25">
      <c r="A129" s="71" t="s">
        <v>299</v>
      </c>
      <c r="B129" s="71"/>
      <c r="C129" s="71"/>
      <c r="D129" s="71"/>
    </row>
    <row r="130" spans="1:4" ht="12.75" customHeight="1" x14ac:dyDescent="0.25">
      <c r="A130" s="71" t="s">
        <v>300</v>
      </c>
      <c r="B130" s="71"/>
      <c r="C130" s="71"/>
      <c r="D130" s="71"/>
    </row>
    <row r="131" spans="1:4" ht="12.75" customHeight="1" x14ac:dyDescent="0.25">
      <c r="A131" s="71" t="s">
        <v>301</v>
      </c>
      <c r="B131" s="71"/>
      <c r="C131" s="71"/>
      <c r="D131" s="71"/>
    </row>
    <row r="132" spans="1:4" ht="12.75" customHeight="1" x14ac:dyDescent="0.25">
      <c r="A132" s="71" t="s">
        <v>299</v>
      </c>
      <c r="B132" s="71"/>
      <c r="C132" s="71"/>
      <c r="D132" s="71"/>
    </row>
    <row r="133" spans="1:4" ht="12.75" customHeight="1" x14ac:dyDescent="0.25">
      <c r="A133" s="71" t="s">
        <v>302</v>
      </c>
      <c r="B133" s="71"/>
      <c r="C133" s="71"/>
      <c r="D133" s="71"/>
    </row>
    <row r="134" spans="1:4" ht="12.75" customHeight="1" x14ac:dyDescent="0.25">
      <c r="A134" s="71" t="s">
        <v>303</v>
      </c>
      <c r="B134" s="71"/>
      <c r="C134" s="71"/>
      <c r="D134" s="71"/>
    </row>
    <row r="135" spans="1:4" ht="12.75" customHeight="1" x14ac:dyDescent="0.25">
      <c r="A135" s="71" t="s">
        <v>299</v>
      </c>
      <c r="B135" s="71"/>
      <c r="C135" s="71"/>
      <c r="D135" s="71"/>
    </row>
    <row r="136" spans="1:4" ht="12.75" customHeight="1" x14ac:dyDescent="0.25">
      <c r="A136" s="71" t="s">
        <v>304</v>
      </c>
      <c r="B136" s="71"/>
      <c r="C136" s="71"/>
      <c r="D136" s="71"/>
    </row>
    <row r="137" spans="1:4" ht="12.75" customHeight="1" x14ac:dyDescent="0.25">
      <c r="A137" s="71" t="s">
        <v>305</v>
      </c>
      <c r="B137" s="71"/>
      <c r="C137" s="71"/>
      <c r="D137" s="71"/>
    </row>
    <row r="138" spans="1:4" ht="12.75" customHeight="1" x14ac:dyDescent="0.25">
      <c r="A138" s="71" t="s">
        <v>306</v>
      </c>
      <c r="B138" s="71"/>
      <c r="C138" s="71"/>
      <c r="D138" s="71"/>
    </row>
    <row r="139" spans="1:4" ht="12.75" customHeight="1" x14ac:dyDescent="0.25">
      <c r="A139" s="71" t="s">
        <v>307</v>
      </c>
      <c r="B139" s="71"/>
      <c r="C139" s="71"/>
      <c r="D139" s="71"/>
    </row>
    <row r="140" spans="1:4" ht="12.75" customHeight="1" x14ac:dyDescent="0.25">
      <c r="A140" s="71" t="s">
        <v>308</v>
      </c>
      <c r="B140" s="71"/>
      <c r="C140" s="71"/>
      <c r="D140" s="71"/>
    </row>
    <row r="141" spans="1:4" ht="12.75" customHeight="1" x14ac:dyDescent="0.25">
      <c r="A141" s="71" t="s">
        <v>309</v>
      </c>
      <c r="B141" s="71"/>
      <c r="C141" s="71"/>
      <c r="D141" s="71"/>
    </row>
    <row r="142" spans="1:4" ht="12.75" customHeight="1" x14ac:dyDescent="0.25">
      <c r="A142" s="71" t="s">
        <v>310</v>
      </c>
      <c r="B142" s="71"/>
      <c r="C142" s="71"/>
      <c r="D142" s="71"/>
    </row>
    <row r="143" spans="1:4" ht="12.75" customHeight="1" x14ac:dyDescent="0.25">
      <c r="A143" s="71" t="s">
        <v>311</v>
      </c>
      <c r="B143" s="71"/>
      <c r="C143" s="71"/>
      <c r="D143" s="71"/>
    </row>
    <row r="144" spans="1:4" ht="12.75" customHeight="1" x14ac:dyDescent="0.25">
      <c r="A144" s="71" t="s">
        <v>312</v>
      </c>
      <c r="B144" s="71"/>
      <c r="C144" s="71"/>
      <c r="D144" s="71"/>
    </row>
    <row r="145" spans="1:4" ht="12.75" customHeight="1" x14ac:dyDescent="0.25">
      <c r="A145" s="71" t="s">
        <v>313</v>
      </c>
      <c r="B145" s="71"/>
      <c r="C145" s="71"/>
      <c r="D145" s="71"/>
    </row>
    <row r="146" spans="1:4" ht="12.75" customHeight="1" x14ac:dyDescent="0.25">
      <c r="A146" s="71" t="s">
        <v>282</v>
      </c>
      <c r="B146" s="71"/>
      <c r="C146" s="71"/>
      <c r="D146" s="71"/>
    </row>
    <row r="147" spans="1:4" ht="12.75" customHeight="1" x14ac:dyDescent="0.25">
      <c r="A147" s="71"/>
      <c r="B147" s="71"/>
      <c r="C147" s="71"/>
      <c r="D147" s="71"/>
    </row>
    <row r="148" spans="1:4" ht="12.75" customHeight="1" x14ac:dyDescent="0.25">
      <c r="A148" s="71" t="s">
        <v>267</v>
      </c>
      <c r="B148" s="71"/>
      <c r="C148" s="71"/>
      <c r="D148" s="71"/>
    </row>
    <row r="149" spans="1:4" ht="12.75" customHeight="1" x14ac:dyDescent="0.25">
      <c r="A149" s="71" t="s">
        <v>314</v>
      </c>
      <c r="B149" s="71"/>
      <c r="C149" s="71"/>
      <c r="D149" s="71"/>
    </row>
    <row r="150" spans="1:4" ht="12.75" customHeight="1" x14ac:dyDescent="0.25">
      <c r="A150" s="71" t="s">
        <v>315</v>
      </c>
      <c r="B150" s="71"/>
      <c r="C150" s="71"/>
      <c r="D150" s="71"/>
    </row>
    <row r="151" spans="1:4" ht="12.75" customHeight="1" x14ac:dyDescent="0.25">
      <c r="A151" s="71" t="s">
        <v>267</v>
      </c>
      <c r="B151" s="71"/>
      <c r="C151" s="71"/>
      <c r="D151" s="71"/>
    </row>
    <row r="152" spans="1:4" ht="12.75" customHeight="1" x14ac:dyDescent="0.25">
      <c r="A152" s="71" t="s">
        <v>316</v>
      </c>
      <c r="B152" s="71"/>
      <c r="C152" s="71"/>
      <c r="D152" s="71"/>
    </row>
    <row r="153" spans="1:4" ht="12.75" customHeight="1" x14ac:dyDescent="0.25">
      <c r="A153" s="71" t="s">
        <v>317</v>
      </c>
      <c r="B153" s="71"/>
      <c r="C153" s="71"/>
      <c r="D153" s="71"/>
    </row>
    <row r="154" spans="1:4" ht="12.75" customHeight="1" x14ac:dyDescent="0.25">
      <c r="A154" s="71" t="s">
        <v>318</v>
      </c>
      <c r="B154" s="71"/>
      <c r="C154" s="71"/>
      <c r="D154" s="71"/>
    </row>
    <row r="155" spans="1:4" ht="12.75" customHeight="1" x14ac:dyDescent="0.25">
      <c r="A155" s="71" t="s">
        <v>319</v>
      </c>
      <c r="B155" s="71"/>
      <c r="C155" s="71"/>
      <c r="D155" s="71"/>
    </row>
    <row r="156" spans="1:4" ht="12.75" customHeight="1" x14ac:dyDescent="0.25">
      <c r="A156" s="71" t="s">
        <v>273</v>
      </c>
      <c r="B156" s="71"/>
      <c r="C156" s="71"/>
      <c r="D156" s="71"/>
    </row>
    <row r="157" spans="1:4" ht="12.75" customHeight="1" x14ac:dyDescent="0.25">
      <c r="A157" s="71" t="s">
        <v>320</v>
      </c>
      <c r="B157" s="71"/>
      <c r="C157" s="71"/>
      <c r="D157" s="71"/>
    </row>
    <row r="158" spans="1:4" ht="12.75" customHeight="1" x14ac:dyDescent="0.25">
      <c r="A158" s="71" t="s">
        <v>321</v>
      </c>
      <c r="B158" s="71"/>
      <c r="C158" s="71"/>
      <c r="D158" s="71"/>
    </row>
    <row r="159" spans="1:4" ht="12.75" customHeight="1" x14ac:dyDescent="0.25">
      <c r="A159" s="71" t="s">
        <v>322</v>
      </c>
      <c r="B159" s="71"/>
      <c r="C159" s="71"/>
      <c r="D159" s="71"/>
    </row>
    <row r="160" spans="1:4" ht="12.75" customHeight="1" x14ac:dyDescent="0.25">
      <c r="A160" s="71" t="s">
        <v>323</v>
      </c>
      <c r="B160" s="71"/>
      <c r="C160" s="71"/>
      <c r="D160" s="71"/>
    </row>
    <row r="161" spans="1:4" ht="12.75" customHeight="1" x14ac:dyDescent="0.25">
      <c r="A161" s="71" t="s">
        <v>324</v>
      </c>
      <c r="B161" s="71"/>
      <c r="C161" s="71"/>
      <c r="D161" s="71"/>
    </row>
    <row r="162" spans="1:4" ht="12.75" customHeight="1" x14ac:dyDescent="0.25">
      <c r="A162" s="71" t="s">
        <v>325</v>
      </c>
      <c r="B162" s="71"/>
      <c r="C162" s="71"/>
      <c r="D162" s="71"/>
    </row>
    <row r="163" spans="1:4" ht="12.75" customHeight="1" x14ac:dyDescent="0.25">
      <c r="A163" s="71" t="s">
        <v>326</v>
      </c>
      <c r="B163" s="71"/>
      <c r="C163" s="71"/>
      <c r="D163" s="71"/>
    </row>
    <row r="164" spans="1:4" ht="12.75" customHeight="1" x14ac:dyDescent="0.25">
      <c r="A164" s="71" t="s">
        <v>327</v>
      </c>
      <c r="B164" s="71"/>
      <c r="C164" s="71"/>
      <c r="D164" s="71"/>
    </row>
    <row r="165" spans="1:4" ht="12.75" customHeight="1" x14ac:dyDescent="0.25">
      <c r="A165" s="71" t="s">
        <v>328</v>
      </c>
      <c r="B165" s="71"/>
      <c r="C165" s="71"/>
      <c r="D165" s="71"/>
    </row>
    <row r="166" spans="1:4" ht="12.75" customHeight="1" x14ac:dyDescent="0.25">
      <c r="A166" s="71" t="s">
        <v>329</v>
      </c>
      <c r="B166" s="71"/>
      <c r="C166" s="71"/>
      <c r="D166" s="71"/>
    </row>
    <row r="167" spans="1:4" ht="12.75" customHeight="1" x14ac:dyDescent="0.25">
      <c r="A167" s="71" t="s">
        <v>330</v>
      </c>
      <c r="B167" s="71"/>
      <c r="C167" s="71"/>
      <c r="D167" s="71"/>
    </row>
    <row r="168" spans="1:4" ht="12.75" customHeight="1" x14ac:dyDescent="0.25">
      <c r="A168" s="71" t="s">
        <v>331</v>
      </c>
      <c r="B168" s="71"/>
      <c r="C168" s="71"/>
      <c r="D168" s="71"/>
    </row>
    <row r="169" spans="1:4" ht="12.75" customHeight="1" x14ac:dyDescent="0.25">
      <c r="A169" s="71" t="s">
        <v>332</v>
      </c>
      <c r="B169" s="71"/>
      <c r="C169" s="71"/>
      <c r="D169" s="71"/>
    </row>
    <row r="170" spans="1:4" ht="12.75" customHeight="1" x14ac:dyDescent="0.25">
      <c r="A170" s="71" t="s">
        <v>333</v>
      </c>
      <c r="B170" s="71"/>
      <c r="C170" s="71"/>
      <c r="D170" s="71"/>
    </row>
    <row r="171" spans="1:4" ht="12.75" customHeight="1" x14ac:dyDescent="0.25">
      <c r="A171" s="71" t="s">
        <v>334</v>
      </c>
      <c r="B171" s="71"/>
      <c r="C171" s="71"/>
      <c r="D171" s="71"/>
    </row>
    <row r="172" spans="1:4" ht="12.75" customHeight="1" x14ac:dyDescent="0.25">
      <c r="A172" s="71" t="s">
        <v>335</v>
      </c>
      <c r="B172" s="71"/>
      <c r="C172" s="71"/>
      <c r="D172" s="71"/>
    </row>
    <row r="173" spans="1:4" ht="12.75" customHeight="1" x14ac:dyDescent="0.25">
      <c r="A173" s="71" t="s">
        <v>336</v>
      </c>
      <c r="B173" s="71"/>
      <c r="C173" s="71"/>
      <c r="D173" s="71"/>
    </row>
    <row r="174" spans="1:4" ht="12.75" customHeight="1" x14ac:dyDescent="0.25">
      <c r="A174" s="71" t="s">
        <v>337</v>
      </c>
      <c r="B174" s="71"/>
      <c r="C174" s="71"/>
      <c r="D174" s="71"/>
    </row>
    <row r="175" spans="1:4" ht="12.75" customHeight="1" x14ac:dyDescent="0.25">
      <c r="A175" s="71" t="s">
        <v>338</v>
      </c>
      <c r="B175" s="71"/>
      <c r="C175" s="71"/>
      <c r="D175" s="71"/>
    </row>
    <row r="176" spans="1:4" ht="12.75" customHeight="1" x14ac:dyDescent="0.25">
      <c r="A176" s="71" t="s">
        <v>339</v>
      </c>
      <c r="B176" s="71"/>
      <c r="C176" s="71"/>
      <c r="D176" s="71"/>
    </row>
    <row r="177" spans="1:4" ht="12.75" customHeight="1" x14ac:dyDescent="0.25">
      <c r="A177" s="71" t="s">
        <v>330</v>
      </c>
      <c r="B177" s="71"/>
      <c r="C177" s="71"/>
      <c r="D177" s="71"/>
    </row>
    <row r="178" spans="1:4" ht="12.75" customHeight="1" x14ac:dyDescent="0.25">
      <c r="A178" s="71" t="s">
        <v>340</v>
      </c>
      <c r="B178" s="71"/>
      <c r="C178" s="71"/>
      <c r="D178" s="71"/>
    </row>
    <row r="179" spans="1:4" ht="12.75" customHeight="1" x14ac:dyDescent="0.25">
      <c r="A179" s="71" t="s">
        <v>341</v>
      </c>
      <c r="B179" s="71"/>
      <c r="C179" s="71"/>
      <c r="D179" s="71"/>
    </row>
    <row r="180" spans="1:4" ht="12.75" customHeight="1" x14ac:dyDescent="0.25">
      <c r="A180" s="71" t="s">
        <v>282</v>
      </c>
      <c r="B180" s="71"/>
      <c r="C180" s="71"/>
      <c r="D180" s="71"/>
    </row>
  </sheetData>
  <mergeCells count="113">
    <mergeCell ref="A176:D176"/>
    <mergeCell ref="A177:D177"/>
    <mergeCell ref="A178:D178"/>
    <mergeCell ref="A179:D179"/>
    <mergeCell ref="A180:D180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6:D66"/>
    <mergeCell ref="A75:D75"/>
    <mergeCell ref="A80:D80"/>
    <mergeCell ref="A81:D81"/>
    <mergeCell ref="A82:D82"/>
    <mergeCell ref="A83:D83"/>
    <mergeCell ref="A84:D84"/>
    <mergeCell ref="A85:D85"/>
    <mergeCell ref="A1:D1"/>
    <mergeCell ref="A2:D2"/>
    <mergeCell ref="A8:D8"/>
    <mergeCell ref="A17:D17"/>
    <mergeCell ref="A28:D28"/>
    <mergeCell ref="A34:D34"/>
    <mergeCell ref="A41:D41"/>
    <mergeCell ref="A49:D49"/>
    <mergeCell ref="A56:D5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Cover</vt:lpstr>
      <vt:lpstr>Log</vt:lpstr>
      <vt:lpstr>Dashboard</vt:lpstr>
      <vt:lpstr>Analytics</vt:lpstr>
      <vt:lpstr>Timeline</vt:lpstr>
      <vt:lpstr>Skills Gap Analysis</vt:lpstr>
      <vt:lpstr>Documentation</vt:lpstr>
      <vt:lpstr>HealthScore</vt:lpstr>
      <vt:lpstr>JobDescriptionText</vt:lpstr>
      <vt:lpstr>JobFitScore</vt:lpstr>
      <vt:lpstr>ScoreA</vt:lpstr>
      <vt:lpstr>ScoreB</vt:lpstr>
      <vt:lpstr>ScoreC</vt:lpstr>
      <vt:lpstr>ScoreD</vt:lpstr>
      <vt:lpstr>TotalAchievedWeight</vt:lpstr>
      <vt:lpstr>TotalPossibleWeight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Mederich</cp:lastModifiedBy>
  <cp:revision>3</cp:revision>
  <dcterms:created xsi:type="dcterms:W3CDTF">2026-02-25T01:40:01Z</dcterms:created>
  <dcterms:modified xsi:type="dcterms:W3CDTF">2026-03-01T06:05:44Z</dcterms:modified>
  <dc:language>en-US</dc:language>
</cp:coreProperties>
</file>